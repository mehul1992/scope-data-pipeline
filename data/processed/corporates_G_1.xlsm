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<sst xmlns="http://schemas.openxmlformats.org/spreadsheetml/2006/main" count="3388" uniqueCount="2365">
  <si>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</si>
  <si>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</si>
  <si>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</si>
  <si>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</si>
  <si>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</si>
  <si>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</si>
  <si>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</si>
  <si>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</si>
  <si>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</si>
  <si>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</si>
  <si>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</si>
  <si>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</si>
  <si>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</si>
  <si>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</si>
  <si>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</si>
  <si>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</si>
  <si>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</si>
  <si>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</si>
  <si>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</si>
  <si>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</si>
  <si>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</si>
  <si>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</si>
  <si>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</si>
  <si>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</si>
  <si>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</si>
  <si>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</si>
  <si>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</si>
  <si>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</si>
  <si>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</si>
  <si>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</si>
  <si>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</si>
  <si>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</si>
  <si>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</si>
  <si>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</si>
  <si>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</si>
  <si>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</si>
  <si>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</si>
  <si>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</si>
  <si>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</si>
  <si>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</si>
  <si>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</si>
  <si>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</si>
  <si>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</si>
  <si>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</si>
  <si>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</si>
  <si>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</si>
  <si>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</si>
  <si>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</si>
  <si>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</si>
  <si>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</si>
  <si>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</si>
  <si>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</si>
  <si>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</si>
  <si>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</si>
  <si>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</si>
  <si>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</si>
  <si>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</si>
  <si>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</si>
  <si>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</si>
  <si>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</si>
  <si>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</si>
  <si>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</si>
  <si>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</si>
  <si>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</si>
  <si>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</si>
  <si>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</si>
  <si>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</si>
  <si>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</si>
  <si>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</si>
  <si>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</si>
  <si>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</si>
  <si>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</si>
  <si>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</si>
  <si>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</si>
  <si>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</si>
  <si>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</si>
  <si>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</si>
  <si>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</si>
  <si>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</si>
  <si>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</si>
  <si>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</si>
  <si>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</si>
  <si>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</si>
  <si>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</si>
  <si>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</si>
  <si>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</si>
  <si>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</si>
  <si>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</si>
  <si>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</si>
  <si>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</si>
  <si>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</si>
  <si>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</si>
  <si>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</si>
  <si>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</si>
  <si>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</si>
  <si>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</si>
  <si>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</si>
  <si>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</si>
  <si>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</si>
  <si>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</si>
  <si>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</si>
  <si>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</si>
  <si>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</si>
  <si>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</si>
  <si>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</si>
  <si>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</si>
  <si>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</si>
  <si>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</si>
  <si>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</si>
  <si>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</si>
  <si>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</si>
  <si>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</si>
  <si>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</si>
  <si>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</si>
  <si>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</si>
  <si>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</si>
  <si>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</si>
  <si>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</si>
  <si>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</si>
  <si>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</si>
  <si>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</si>
  <si>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</si>
  <si>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</si>
  <si>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</si>
  <si>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</si>
  <si>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</si>
  <si>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</si>
  <si>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</si>
  <si>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</si>
  <si>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</si>
  <si>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</si>
  <si>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</si>
  <si>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</si>
  <si>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</si>
  <si>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</si>
  <si>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</si>
  <si>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</si>
  <si>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</si>
  <si>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</si>
  <si>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</si>
  <si>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</si>
  <si>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</si>
  <si>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</si>
  <si>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</si>
  <si>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</si>
  <si>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</si>
  <si>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</si>
  <si>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</si>
  <si>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</si>
  <si>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</si>
  <si>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</si>
  <si>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</si>
  <si>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</si>
  <si>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</si>
  <si>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</si>
  <si>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</si>
  <si>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</si>
  <si>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</si>
  <si>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</si>
  <si>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</si>
  <si>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</si>
  <si>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</si>
  <si>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</si>
  <si>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</si>
  <si>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</si>
  <si>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</si>
  <si>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</si>
  <si>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</si>
  <si>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</si>
  <si>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</si>
  <si>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</si>
  <si>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</si>
  <si>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</si>
  <si>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</si>
  <si>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</si>
  <si>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</si>
  <si>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</si>
  <si>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</si>
  <si>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</si>
  <si>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</si>
  <si>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</si>
  <si>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</si>
  <si>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</si>
  <si>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</si>
  <si>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</si>
  <si>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</si>
  <si>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</si>
  <si>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</si>
  <si>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</si>
  <si>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</si>
  <si>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</si>
  <si>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</si>
  <si>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</si>
  <si>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</si>
  <si>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</si>
  <si>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</si>
  <si>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</si>
  <si>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</si>
  <si>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</si>
  <si>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</si>
  <si>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</si>
  <si>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</si>
  <si>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</si>
  <si>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</si>
  <si>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</si>
  <si>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</si>
  <si>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</si>
  <si>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</si>
  <si>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</si>
  <si>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</si>
  <si>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</si>
  <si>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</si>
  <si>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</si>
  <si>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</si>
  <si>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</si>
  <si>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</si>
  <si>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</si>
  <si>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</si>
  <si>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</si>
  <si>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</si>
  <si>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</si>
  <si>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</si>
  <si>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</si>
  <si>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</si>
  <si>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</si>
  <si>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</si>
  <si>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</si>
  <si>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</si>
  <si>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</si>
  <si>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</si>
  <si>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</si>
  <si>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</si>
  <si>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</si>
  <si>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</si>
  <si>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</si>
  <si>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</si>
  <si>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</si>
  <si>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</si>
  <si>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</si>
  <si>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</si>
  <si>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</si>
  <si>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</si>
  <si>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</si>
  <si>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</si>
  <si>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</si>
  <si>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</si>
  <si>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</si>
  <si>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</si>
  <si>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</si>
  <si>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</si>
  <si>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</si>
  <si>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</si>
  <si>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</si>
  <si>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</si>
  <si>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</si>
  <si>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</si>
  <si>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</si>
  <si>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</si>
  <si>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</si>
  <si>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</si>
  <si>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</si>
  <si>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</si>
  <si>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</si>
  <si>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</si>
  <si>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</si>
  <si>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</si>
  <si>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</si>
  <si>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</si>
  <si>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</si>
  <si>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</si>
  <si>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</si>
  <si>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</si>
  <si>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</si>
  <si>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</si>
  <si>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</si>
  <si>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</si>
  <si>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</si>
  <si>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</si>
  <si>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</si>
  <si>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</si>
  <si>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</si>
  <si>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</si>
  <si>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</si>
  <si>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</si>
  <si>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</si>
  <si>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</si>
  <si>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</si>
  <si>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</si>
  <si>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</si>
  <si>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</si>
  <si>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</si>
  <si>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</si>
  <si>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</si>
  <si>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</si>
  <si>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</si>
  <si>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</si>
  <si>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</si>
  <si>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</si>
  <si>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</si>
  <si>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</si>
  <si>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</si>
  <si>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</si>
  <si>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</si>
  <si>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</si>
  <si>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</si>
  <si>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</si>
  <si>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</si>
  <si>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</si>
  <si>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</si>
  <si>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</si>
  <si>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</si>
  <si>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</si>
  <si>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</si>
  <si>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</si>
  <si>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</si>
  <si>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</si>
  <si>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</si>
  <si>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</si>
  <si>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</si>
  <si>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</si>
  <si>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</si>
  <si>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</si>
  <si>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</si>
  <si>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</si>
  <si>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</si>
  <si>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</si>
  <si>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</si>
  <si>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</si>
  <si>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</si>
  <si>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</si>
  <si>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</si>
  <si>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</si>
  <si>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</si>
  <si>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</si>
  <si>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</si>
  <si>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</si>
  <si>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</si>
  <si>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</si>
  <si>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</si>
  <si>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</si>
  <si>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</si>
  <si>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</si>
  <si>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</si>
  <si>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</si>
  <si>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</si>
  <si>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</si>
  <si>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</si>
  <si>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</si>
  <si>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</si>
  <si>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</si>
  <si>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</si>
  <si>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</si>
  <si>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</si>
  <si>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</si>
  <si>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</si>
  <si>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</si>
  <si>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</si>
  <si>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</si>
  <si>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</si>
  <si>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</si>
  <si>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</si>
  <si>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</si>
  <si>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</si>
  <si>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</si>
  <si>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</si>
  <si>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</si>
  <si>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</si>
  <si>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</si>
  <si>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</si>
  <si>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</si>
  <si>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</si>
  <si>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</si>
  <si>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</si>
  <si>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</si>
  <si>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</si>
  <si>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</si>
  <si>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</si>
  <si>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</si>
  <si>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</si>
  <si>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</si>
  <si>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</si>
  <si>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</si>
  <si>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</si>
  <si>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</si>
  <si>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</si>
  <si>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</si>
  <si>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</si>
  <si>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</si>
  <si>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</si>
  <si>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</si>
  <si>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</si>
  <si>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</si>
  <si>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</si>
  <si>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</si>
  <si>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</si>
  <si>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</si>
  <si>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</si>
  <si>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</si>
  <si>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</si>
  <si>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</si>
  <si>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</si>
  <si>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</si>
  <si>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</si>
  <si>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</si>
  <si>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</si>
  <si>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</si>
  <si>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</si>
  <si>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</si>
  <si>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</si>
  <si>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</si>
  <si>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</si>
  <si>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</si>
  <si>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</si>
  <si>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</si>
  <si>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</si>
  <si>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</si>
  <si>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</si>
  <si>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</si>
  <si>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</si>
  <si>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</si>
  <si>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</si>
  <si>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</si>
  <si>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</si>
  <si>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</si>
  <si>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</si>
  <si>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</si>
  <si>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</si>
  <si>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</si>
  <si>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</si>
  <si>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</si>
  <si>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</si>
  <si>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</si>
  <si>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</si>
  <si>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</si>
  <si>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</si>
  <si>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</si>
  <si>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</si>
  <si>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</si>
  <si>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</si>
  <si>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</si>
  <si>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</si>
  <si>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</si>
  <si>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</si>
  <si>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</si>
  <si>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</si>
  <si>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</si>
  <si>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</si>
  <si>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</si>
  <si>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</si>
  <si>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</si>
  <si>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</si>
  <si>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</si>
  <si>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</si>
  <si>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</si>
  <si>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</si>
  <si>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</si>
  <si>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</si>
  <si>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</si>
  <si>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</si>
  <si>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</si>
  <si>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</si>
  <si>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</si>
  <si>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</si>
  <si>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</si>
  <si>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</si>
  <si>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</si>
  <si>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</si>
  <si>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</si>
  <si>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</si>
  <si>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</si>
  <si>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</si>
  <si>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</si>
  <si>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</si>
  <si>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</si>
  <si>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</si>
  <si>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</si>
  <si>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</si>
  <si>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</si>
  <si>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</si>
  <si>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</si>
  <si>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</si>
  <si>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</si>
  <si>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</si>
  <si>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</si>
  <si>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</si>
  <si>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</si>
  <si>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</si>
  <si>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</si>
  <si>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</si>
  <si>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</si>
  <si>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</si>
  <si>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</si>
  <si>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</si>
  <si>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</si>
  <si>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</si>
  <si>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</si>
  <si>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</si>
  <si>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</si>
  <si>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</si>
  <si>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</si>
  <si>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</si>
  <si>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</si>
  <si>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</si>
  <si>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</si>
  <si>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</si>
  <si>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</si>
  <si>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</si>
  <si>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</si>
  <si>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</si>
  <si>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</si>
  <si>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</si>
  <si>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</si>
  <si>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</si>
  <si>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</si>
  <si>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</si>
  <si>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</si>
  <si>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</si>
  <si>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</si>
  <si>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</si>
  <si>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</si>
  <si>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</si>
  <si>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</si>
  <si>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</si>
  <si>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</si>
  <si>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</si>
  <si>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</si>
  <si>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</si>
  <si>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</si>
  <si>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</si>
  <si>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</si>
  <si>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</si>
  <si>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</si>
  <si>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</si>
  <si>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</si>
  <si>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</si>
  <si>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</si>
  <si>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</si>
  <si>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</si>
  <si>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</si>
  <si>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</si>
  <si>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</si>
  <si>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</si>
  <si>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</si>
  <si>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</si>
  <si>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</si>
  <si>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</si>
  <si>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</si>
  <si>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</si>
  <si>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</si>
  <si>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</si>
  <si>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</si>
  <si>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</si>
  <si>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</si>
  <si>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</si>
  <si>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</si>
  <si>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</si>
  <si>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</si>
  <si>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</si>
  <si>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</si>
  <si>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</si>
  <si>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</si>
  <si>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</si>
  <si>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</si>
  <si>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</si>
  <si>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</si>
  <si>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</si>
  <si>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</si>
  <si>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</si>
  <si>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</si>
  <si>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</si>
  <si>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</si>
  <si>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</si>
  <si>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</si>
  <si>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</si>
  <si>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</si>
  <si>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</si>
  <si>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</si>
  <si>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</si>
  <si>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</si>
  <si>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</si>
  <si>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</si>
  <si>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</si>
  <si>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</si>
  <si>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</si>
  <si>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</si>
  <si>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</si>
  <si>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</si>
  <si>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</si>
  <si>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</si>
  <si>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</si>
  <si>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</si>
  <si>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</si>
  <si>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</si>
  <si>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</si>
  <si>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</si>
  <si>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</si>
  <si>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</si>
  <si>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</si>
  <si>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</si>
  <si>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</si>
  <si>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</si>
  <si>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</si>
  <si>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</si>
  <si>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</si>
  <si>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</si>
  <si>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</si>
  <si>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</si>
  <si>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</si>
  <si>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</si>
  <si>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</si>
  <si>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</si>
  <si>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</si>
  <si>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</si>
  <si>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</si>
  <si>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</si>
  <si>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</si>
  <si>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</si>
  <si>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</si>
  <si>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</si>
  <si>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</si>
  <si>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</si>
  <si>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</si>
  <si>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</si>
  <si>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</si>
  <si>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</si>
  <si>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</si>
  <si>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</si>
  <si>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</si>
  <si>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</si>
  <si>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</si>
  <si>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</si>
  <si>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</si>
  <si>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</si>
  <si>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</si>
  <si>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</si>
  <si>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</si>
  <si>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</si>
  <si>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</si>
  <si>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</si>
  <si>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</si>
  <si>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</si>
  <si>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</si>
  <si>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</si>
  <si>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</si>
  <si>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</si>
  <si>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</si>
  <si>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</si>
  <si>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</si>
  <si>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</si>
  <si>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</si>
  <si>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</si>
  <si>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</si>
  <si>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</si>
  <si>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</si>
  <si>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</si>
  <si>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</si>
  <si>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</si>
  <si>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</si>
  <si>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</si>
  <si>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</si>
  <si>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</si>
  <si>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</si>
  <si>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</si>
  <si>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</si>
  <si>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</si>
  <si>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</si>
  <si>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</si>
  <si>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</si>
  <si>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</si>
  <si>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</si>
  <si>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</si>
  <si>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</si>
  <si>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</si>
  <si>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</si>
  <si>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</si>
  <si>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</si>
  <si>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</si>
  <si>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</si>
  <si>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</si>
  <si>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</si>
  <si>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</si>
  <si>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</si>
  <si>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</si>
  <si>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</si>
  <si>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</si>
  <si>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</si>
  <si>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</si>
  <si>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</si>
  <si>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</si>
  <si>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</si>
  <si>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</si>
  <si>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</si>
  <si>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</si>
  <si>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</si>
  <si>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</si>
  <si>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</si>
  <si>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</si>
  <si>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</si>
  <si>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</si>
  <si>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</si>
  <si>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</si>
  <si>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</si>
  <si>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</si>
  <si>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</si>
  <si>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</si>
  <si>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</si>
  <si>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</si>
  <si>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</si>
  <si>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</si>
  <si>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</si>
  <si>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</si>
  <si>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</si>
  <si>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</si>
  <si>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</si>
  <si>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</si>
  <si>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</si>
  <si>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</si>
  <si>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</si>
  <si>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</si>
  <si>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</si>
  <si>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</si>
  <si>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</si>
  <si>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</si>
  <si>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</si>
  <si>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</si>
  <si>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</si>
  <si>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</si>
  <si>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</si>
  <si>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</si>
  <si>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</si>
  <si>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</si>
  <si>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</si>
  <si>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</si>
  <si>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</si>
  <si>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</si>
  <si>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</si>
  <si>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</si>
  <si>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</si>
  <si>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</si>
  <si>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</si>
  <si>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</si>
  <si>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</si>
  <si>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</si>
  <si>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</si>
  <si>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</si>
  <si>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</si>
  <si>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</si>
  <si>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</si>
  <si>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</si>
  <si>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</si>
  <si>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</si>
  <si>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</si>
  <si>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</si>
  <si>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</si>
  <si>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</si>
  <si>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</si>
  <si>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</si>
  <si>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</si>
  <si>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</si>
  <si>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</si>
  <si>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</si>
  <si>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</si>
  <si>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</si>
  <si>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</si>
  <si>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</si>
  <si>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</si>
  <si>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</si>
  <si>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</si>
  <si>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</si>
  <si>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</si>
  <si>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</si>
  <si>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</si>
  <si>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</si>
  <si>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</si>
  <si>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</si>
  <si>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</si>
  <si>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</si>
  <si>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</si>
  <si>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</si>
  <si>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</si>
  <si>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</si>
  <si>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</si>
  <si>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</si>
  <si>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</si>
  <si>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</si>
  <si>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</si>
  <si>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</si>
  <si>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</si>
  <si>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</si>
  <si>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</si>
  <si>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</si>
  <si>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</si>
  <si>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</si>
  <si>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</si>
  <si>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</si>
  <si>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</si>
  <si>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</si>
  <si>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</si>
  <si>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</si>
  <si>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</si>
  <si>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</si>
  <si>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</si>
  <si>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</si>
  <si>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</si>
  <si>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</si>
  <si>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</si>
  <si>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</si>
  <si>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</si>
  <si>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</si>
  <si>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</si>
  <si>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</si>
  <si>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</si>
  <si>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</si>
  <si>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</si>
  <si>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</si>
  <si>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</si>
  <si>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</si>
  <si>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</si>
  <si>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</si>
  <si>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</si>
  <si>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</si>
  <si>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</si>
  <si>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</si>
  <si>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</si>
  <si>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</si>
  <si>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</si>
  <si>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</si>
  <si>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</si>
  <si>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</si>
  <si>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</si>
  <si>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</si>
  <si>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</si>
  <si>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</si>
  <si>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</si>
  <si>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</si>
  <si>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</si>
  <si>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</si>
  <si>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</si>
  <si>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</si>
  <si>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</si>
  <si>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</si>
  <si>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</si>
  <si>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</si>
  <si>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</si>
  <si>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</si>
  <si>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</si>
  <si>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</si>
  <si>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</si>
  <si>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</si>
  <si>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</si>
  <si>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</si>
  <si>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</si>
  <si>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</si>
  <si>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</si>
  <si>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</si>
  <si>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</si>
  <si>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</si>
  <si>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</si>
  <si>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</si>
  <si>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</si>
  <si>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</si>
  <si>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</si>
  <si>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</si>
  <si>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</si>
  <si>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</si>
  <si>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</si>
  <si>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</si>
  <si>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</si>
  <si>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</si>
  <si>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</si>
  <si>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</si>
  <si>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</si>
  <si>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</si>
  <si>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</si>
  <si>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</si>
  <si>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</si>
  <si>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</si>
  <si>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</si>
  <si>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</si>
  <si>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</si>
  <si>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</si>
  <si>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</si>
  <si>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</si>
  <si>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</si>
  <si>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</si>
  <si>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</si>
  <si>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</si>
  <si>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</si>
  <si>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</si>
  <si>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</si>
  <si>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</si>
  <si>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</si>
  <si>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</si>
  <si>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</si>
  <si>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</si>
  <si>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</si>
  <si>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</si>
  <si>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</si>
  <si>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</si>
  <si>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</si>
  <si>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</si>
  <si>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</si>
  <si>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</si>
  <si>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</si>
  <si>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</si>
  <si>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</si>
  <si>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</si>
  <si>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</si>
  <si>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</si>
  <si>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</si>
  <si>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</si>
  <si>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</si>
  <si>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</si>
  <si>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</si>
  <si>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</si>
  <si>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</si>
  <si>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</si>
  <si>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</si>
  <si>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</si>
  <si>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</si>
  <si>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</si>
  <si>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</si>
  <si>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</si>
  <si>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</si>
  <si>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</si>
  <si>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</si>
  <si>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</si>
  <si>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</si>
  <si>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</si>
  <si>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</si>
  <si>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</si>
  <si>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</si>
  <si>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</si>
  <si>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</si>
  <si>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</si>
  <si>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</si>
  <si>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</si>
  <si>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</si>
  <si>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</si>
  <si>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</si>
  <si>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</si>
  <si>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</si>
  <si>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</si>
  <si>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</si>
  <si>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</si>
  <si>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</si>
  <si>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</si>
  <si>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</si>
  <si>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</si>
  <si>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</si>
  <si>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</si>
  <si>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</si>
  <si>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</si>
  <si>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</si>
  <si>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</si>
  <si>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</si>
  <si>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</si>
  <si>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</si>
  <si>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</si>
  <si>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</si>
  <si>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</si>
  <si>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</si>
  <si>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</si>
  <si>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</si>
  <si>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</si>
  <si>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</si>
  <si>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</si>
  <si>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</si>
  <si>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</si>
  <si>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</si>
  <si>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</si>
  <si>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</si>
  <si>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</si>
  <si>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</si>
  <si>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</si>
  <si>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</si>
  <si>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</si>
  <si>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</si>
  <si>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</si>
  <si>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</si>
  <si>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</si>
  <si>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</si>
  <si>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</si>
  <si>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</si>
  <si>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</si>
  <si>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</si>
  <si>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</si>
  <si>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</si>
  <si>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</si>
  <si>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</si>
  <si>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</si>
  <si>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</si>
  <si>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</si>
  <si>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</si>
  <si>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</si>
  <si>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</si>
  <si>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</si>
  <si>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</si>
  <si>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</si>
  <si>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</si>
  <si>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</si>
  <si>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</si>
  <si>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</si>
  <si>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</si>
  <si>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</si>
  <si>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</si>
  <si>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</si>
  <si>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</si>
  <si>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</si>
  <si>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</si>
  <si>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</si>
  <si>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</si>
  <si>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</si>
  <si>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</si>
  <si>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</si>
  <si>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</si>
  <si>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</si>
  <si>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</si>
  <si>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</si>
  <si>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</si>
  <si>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</si>
  <si>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</si>
  <si>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</si>
  <si>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</si>
  <si>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</si>
  <si>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</si>
  <si>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</si>
  <si>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</si>
  <si>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</si>
  <si>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</si>
  <si>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</si>
  <si>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</si>
  <si>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</si>
  <si>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</si>
  <si>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</si>
  <si>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</si>
  <si>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</si>
  <si>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</si>
  <si>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</si>
  <si>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</si>
  <si>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</si>
  <si>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</si>
  <si>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</si>
  <si>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</si>
  <si>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</si>
  <si>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</si>
  <si>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</si>
  <si>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</si>
  <si>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</si>
  <si>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</si>
  <si>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</si>
  <si>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</si>
  <si>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</si>
  <si>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</si>
  <si>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</si>
  <si>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</si>
  <si>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</si>
  <si>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</si>
  <si>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</si>
  <si>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</si>
  <si>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</si>
  <si>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</si>
  <si>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</si>
  <si>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</si>
  <si>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</si>
  <si>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</si>
  <si>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</si>
  <si>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</si>
  <si>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</si>
  <si>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</si>
  <si>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</si>
  <si>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</si>
  <si>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</si>
  <si>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</si>
  <si>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</si>
  <si>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</si>
  <si>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</si>
  <si>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</si>
  <si>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</si>
  <si>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</si>
  <si>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</si>
  <si>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</si>
  <si>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</si>
  <si>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</si>
  <si>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</si>
  <si>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</si>
  <si>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</si>
  <si>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</si>
  <si>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</si>
  <si>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</si>
  <si>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</si>
  <si>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</si>
  <si>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</si>
  <si>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</si>
  <si>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</si>
  <si>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</si>
  <si>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</si>
  <si>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</si>
  <si>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</si>
  <si>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</si>
  <si>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</si>
  <si>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</si>
  <si>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</si>
  <si>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</si>
  <si>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</si>
  <si>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</si>
  <si>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</si>
  <si>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</si>
  <si>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</si>
  <si>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</si>
  <si>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</si>
  <si>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</si>
  <si>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</si>
  <si>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</si>
  <si>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</si>
  <si>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</si>
  <si>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</si>
  <si>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</si>
  <si>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</si>
  <si>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</si>
  <si>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</si>
  <si>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</si>
  <si>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</si>
  <si>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</si>
  <si>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</si>
  <si>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</si>
  <si>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</si>
  <si>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</si>
  <si>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</si>
  <si>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</si>
  <si>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</si>
  <si>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</si>
  <si>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</si>
  <si>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</si>
  <si>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</si>
  <si>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</si>
  <si>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</si>
  <si>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</si>
  <si>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</si>
  <si>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</si>
  <si>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</si>
  <si>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</si>
  <si>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</si>
  <si>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</si>
  <si>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</si>
  <si>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</si>
  <si>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</si>
  <si>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</si>
  <si>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</si>
  <si>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</si>
  <si>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</si>
  <si>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</si>
  <si>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</si>
  <si>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</si>
  <si>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</si>
  <si>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</si>
  <si>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</si>
  <si>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</si>
  <si>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</si>
  <si>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</si>
  <si>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</si>
  <si>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</si>
  <si>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</si>
  <si>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</si>
  <si>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</si>
  <si>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</si>
  <si>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</si>
  <si>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</si>
  <si>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</si>
  <si>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</si>
  <si>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</si>
  <si>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</si>
  <si>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</si>
  <si>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</si>
  <si>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</si>
  <si>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</si>
  <si>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</si>
  <si>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</si>
  <si>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</si>
  <si>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</si>
  <si>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</si>
  <si>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</si>
  <si>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</si>
  <si>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</si>
  <si>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</si>
  <si>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</si>
  <si>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</si>
  <si>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</si>
  <si>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</si>
  <si>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</si>
  <si>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</si>
  <si>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</si>
  <si>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</si>
  <si>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</si>
  <si>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</si>
  <si>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</si>
  <si>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</si>
  <si>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</si>
  <si>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</si>
  <si>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</si>
  <si>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</si>
  <si>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</si>
  <si>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</si>
  <si>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</si>
  <si>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</si>
  <si>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</si>
  <si>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</si>
  <si>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</si>
  <si>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</si>
  <si>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</si>
  <si>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</si>
  <si>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</si>
  <si>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</si>
  <si>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</si>
  <si>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</si>
  <si>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</si>
  <si>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</si>
  <si>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</si>
  <si>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</si>
  <si>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</si>
  <si>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</si>
  <si>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</si>
  <si>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</si>
  <si>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</si>
  <si>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</si>
  <si>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</si>
  <si>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</si>
  <si>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</si>
  <si>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</si>
  <si>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</si>
  <si>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</si>
  <si>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</si>
  <si>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</si>
  <si>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</si>
  <si>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</si>
  <si>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</si>
  <si>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</si>
  <si>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</si>
  <si>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</si>
  <si>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</si>
  <si>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</si>
  <si>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</si>
  <si>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</si>
  <si>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</si>
  <si>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</si>
  <si>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</si>
  <si>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</si>
  <si>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</si>
  <si>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</si>
  <si>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</si>
  <si>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</si>
  <si>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</si>
  <si>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</si>
  <si>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</si>
  <si>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</si>
  <si>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</si>
  <si>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</si>
  <si>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</si>
  <si>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</si>
  <si>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</si>
  <si>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</si>
  <si>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</si>
  <si>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</si>
  <si>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</si>
  <si>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</si>
  <si>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</si>
  <si>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</si>
  <si>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</si>
  <si>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</si>
  <si>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</si>
  <si>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</si>
  <si>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</si>
  <si>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</si>
  <si>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</si>
  <si>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</si>
  <si>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</si>
  <si>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</si>
  <si>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</si>
  <si>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</si>
  <si>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</si>
  <si>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</si>
  <si>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</si>
  <si>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</si>
  <si>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</si>
  <si>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</si>
  <si>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</si>
  <si>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</si>
  <si>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</si>
  <si>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</si>
  <si>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</si>
  <si>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</si>
  <si>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</si>
  <si>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</si>
  <si>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</si>
  <si>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</si>
  <si>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</si>
  <si>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</si>
  <si>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</si>
  <si>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</si>
  <si>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</si>
  <si>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</si>
  <si>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</si>
  <si>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</si>
  <si>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</si>
  <si>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</si>
  <si>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</si>
  <si>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</si>
  <si>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</si>
  <si>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</si>
  <si>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</si>
  <si>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</si>
  <si>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</si>
  <si>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</si>
  <si>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</si>
  <si>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</si>
  <si>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</si>
  <si>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</si>
  <si>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</si>
  <si>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</si>
  <si>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</si>
  <si>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</si>
  <si>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</si>
  <si>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</si>
  <si>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</si>
  <si>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</si>
  <si>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</si>
  <si>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</si>
  <si>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</si>
  <si>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</si>
  <si>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</si>
  <si>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</si>
  <si>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</si>
  <si>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</si>
  <si>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</si>
  <si>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</si>
  <si>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</si>
  <si>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</si>
  <si>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</si>
  <si>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</si>
  <si>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</si>
  <si>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</si>
  <si>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</si>
  <si>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</si>
  <si>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</si>
  <si>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</si>
  <si>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</si>
  <si>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</si>
  <si>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</si>
  <si>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</si>
  <si>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</si>
  <si>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</si>
  <si>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</si>
  <si>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</si>
  <si>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</si>
  <si>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</si>
  <si>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</si>
  <si>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</si>
  <si>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</si>
  <si>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</si>
  <si>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</si>
  <si>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</si>
  <si>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</si>
  <si>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</si>
  <si>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</si>
  <si>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</si>
  <si>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</si>
  <si>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</si>
  <si>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</si>
  <si>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</si>
  <si>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</si>
  <si>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</si>
  <si>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</si>
  <si>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</si>
  <si>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</si>
  <si>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</si>
  <si>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</si>
  <si>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</si>
  <si>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</si>
  <si>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</si>
  <si>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</si>
  <si>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</si>
  <si>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</si>
  <si>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</si>
  <si>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</si>
  <si>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</si>
  <si>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</si>
  <si>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</si>
  <si>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</si>
  <si>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</si>
  <si>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</si>
  <si>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</si>
  <si>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</si>
  <si>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</si>
  <si>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</si>
  <si>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</si>
  <si>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</si>
  <si>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</si>
  <si>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</si>
  <si>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</si>
  <si>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</si>
  <si>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</si>
  <si>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</si>
  <si>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</si>
  <si>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</si>
  <si>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</si>
  <si>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</si>
  <si>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</si>
  <si>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</si>
  <si>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</si>
  <si>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</si>
  <si>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</si>
  <si>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</si>
  <si>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</si>
  <si>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</si>
  <si>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</si>
  <si>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</si>
  <si>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</si>
  <si>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</si>
  <si>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</si>
  <si>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</si>
  <si>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</si>
  <si>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</si>
  <si>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</si>
  <si>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</si>
  <si>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</si>
  <si>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</si>
  <si>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</si>
  <si>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</si>
  <si>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</si>
  <si>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</si>
  <si>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</si>
  <si>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</si>
  <si>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</si>
  <si>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</si>
  <si>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</si>
  <si>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</si>
  <si>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</si>
  <si>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</si>
  <si>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</si>
  <si>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</si>
  <si>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</si>
  <si>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</si>
  <si>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</si>
  <si>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</si>
  <si>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</si>
  <si>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</si>
  <si>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</si>
  <si>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</si>
  <si>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</si>
  <si>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</si>
  <si>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</si>
  <si>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</si>
  <si>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</si>
  <si>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</si>
  <si>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</si>
  <si>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</si>
  <si>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</si>
  <si>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</si>
  <si>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</si>
  <si>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</si>
  <si>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</si>
  <si>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</si>
  <si>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</si>
  <si>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</si>
  <si>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</si>
  <si>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</si>
  <si>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</si>
  <si>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</si>
  <si>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</si>
  <si>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</si>
  <si>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</si>
  <si>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</si>
  <si>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</si>
  <si>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</si>
  <si>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</si>
  <si>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</si>
  <si>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</si>
  <si>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</si>
  <si>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</si>
  <si>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</si>
  <si>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</si>
  <si>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</si>
  <si>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</si>
  <si>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</si>
  <si>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</si>
  <si>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</si>
  <si>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</si>
  <si>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</si>
  <si>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</si>
  <si>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</si>
  <si>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</si>
  <si>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</si>
  <si>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</si>
  <si>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</si>
  <si>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</si>
  <si>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</si>
  <si>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</si>
  <si>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</si>
  <si>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</si>
  <si>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</si>
  <si>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</si>
  <si>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</si>
  <si>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</si>
  <si>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</si>
  <si>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</si>
  <si>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</si>
  <si>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</si>
  <si>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</si>
  <si>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</si>
  <si>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</si>
  <si>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</si>
  <si>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</si>
  <si>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</si>
  <si>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</si>
  <si>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</si>
  <si>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</si>
  <si>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</si>
  <si>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</si>
  <si>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</si>
  <si>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</si>
  <si>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</si>
  <si>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</si>
  <si>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</si>
  <si>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</si>
  <si>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</si>
  <si>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</si>
  <si>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</si>
  <si>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</si>
  <si>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</si>
  <si>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</si>
  <si>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</si>
  <si>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</si>
  <si>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</si>
  <si>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</si>
  <si>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</si>
  <si>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</si>
  <si>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</si>
  <si>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</si>
  <si>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</si>
  <si>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</si>
  <si>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</si>
  <si>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</si>
  <si>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</si>
  <si>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</si>
  <si>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</si>
  <si>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</si>
  <si>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</si>
  <si>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</si>
  <si>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</si>
  <si>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</si>
  <si>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</si>
  <si>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</si>
  <si>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</si>
  <si>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</si>
  <si>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</si>
  <si>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</si>
  <si>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</si>
  <si>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</si>
  <si>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</si>
  <si>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</si>
  <si>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</si>
  <si>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</si>
  <si>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</si>
  <si>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</si>
  <si>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</si>
  <si>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</si>
  <si>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</si>
  <si>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</si>
  <si>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</si>
  <si>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</si>
  <si>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</si>
  <si>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</si>
  <si>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</si>
  <si>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</si>
  <si>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</si>
  <si>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</si>
  <si>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</si>
  <si>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</si>
  <si>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</si>
  <si>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</si>
  <si>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</si>
  <si>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</si>
  <si>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</si>
  <si>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</si>
  <si>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</si>
  <si>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</si>
  <si>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</si>
  <si>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</si>
  <si>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</si>
  <si>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</si>
  <si>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</si>
  <si>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</si>
  <si>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</si>
  <si>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</si>
  <si>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</si>
  <si>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</si>
  <si>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</si>
  <si>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</si>
  <si>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</si>
  <si>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</si>
  <si>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</si>
  <si>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</si>
  <si>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</si>
  <si>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</si>
  <si>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</si>
  <si>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</si>
  <si>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</si>
  <si>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</si>
  <si>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</si>
  <si>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</si>
  <si>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</si>
  <si>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</si>
  <si>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</si>
  <si>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</si>
  <si>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</si>
  <si>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</si>
  <si>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</si>
  <si>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</si>
  <si>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</si>
  <si>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</si>
  <si>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</si>
  <si>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</si>
  <si>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</si>
  <si>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</si>
  <si>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</si>
  <si>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</si>
  <si>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</si>
  <si>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</si>
  <si>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</si>
  <si>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</si>
  <si>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</si>
  <si>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</si>
  <si>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</si>
  <si>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</si>
  <si>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</si>
  <si>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</si>
  <si>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</si>
  <si>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</si>
  <si>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</si>
  <si>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</si>
  <si>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</si>
  <si>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</si>
  <si>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</si>
  <si>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</si>
  <si>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</si>
  <si>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</si>
  <si>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</si>
  <si>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</si>
  <si>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</si>
  <si>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</si>
  <si>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</si>
  <si>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</si>
  <si>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</si>
  <si>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</si>
  <si>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</si>
  <si>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</si>
  <si>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</si>
  <si>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</si>
  <si>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</si>
  <si>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</si>
  <si>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</si>
  <si>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</si>
  <si>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</si>
  <si>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</si>
  <si>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</si>
  <si>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</si>
  <si>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</si>
  <si>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</si>
  <si>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</si>
  <si>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</si>
  <si>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</si>
  <si>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</si>
  <si>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</si>
  <si>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</si>
  <si>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</si>
  <si>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</si>
  <si>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</si>
  <si>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</si>
  <si>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</si>
  <si>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</si>
  <si>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</si>
  <si>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</si>
  <si>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</si>
  <si>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</si>
  <si>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</si>
  <si>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</si>
  <si>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</si>
  <si>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</si>
  <si>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</si>
  <si>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</si>
  <si>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</si>
  <si>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</si>
  <si>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</si>
  <si>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</si>
  <si>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</si>
  <si>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</si>
  <si>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</si>
  <si>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</si>
  <si>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</si>
  <si>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</si>
  <si>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</si>
  <si>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</si>
  <si>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</si>
  <si>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</si>
  <si>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</si>
  <si>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</si>
  <si>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</si>
  <si>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</si>
  <si>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</si>
  <si>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</si>
  <si>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</si>
  <si>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</si>
  <si>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</si>
  <si>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</si>
  <si>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</si>
  <si>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</si>
  <si>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</si>
  <si>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</si>
  <si>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</si>
  <si>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</si>
  <si>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</si>
  <si>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</si>
  <si>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</si>
  <si>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</si>
  <si>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</si>
  <si>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</si>
  <si>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</si>
  <si>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</si>
  <si>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</si>
  <si>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</si>
  <si>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</si>
  <si>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</si>
  <si>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</si>
  <si>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</si>
  <si>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</si>
  <si>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</si>
  <si>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</si>
  <si>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</si>
  <si>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</si>
  <si>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</si>
  <si>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</si>
  <si>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</si>
  <si>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</si>
  <si>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</si>
  <si>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</si>
  <si>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</si>
  <si>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</si>
  <si>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</si>
  <si>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</si>
  <si>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</si>
  <si>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</si>
  <si>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</si>
  <si>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</si>
  <si>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</si>
  <si>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</si>
  <si>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</si>
  <si>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</si>
  <si>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</si>
  <si>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</si>
  <si>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</si>
  <si>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</si>
  <si>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</si>
  <si>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</si>
  <si>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</si>
  <si>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</si>
  <si>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</si>
  <si>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</si>
  <si>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</si>
  <si>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</si>
  <si>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</si>
  <si>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</si>
  <si>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</si>
  <si>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</si>
  <si>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</si>
  <si>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</si>
  <si>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</si>
  <si>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</si>
  <si>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</si>
  <si>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</si>
  <si>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</si>
  <si>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</si>
  <si>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</si>
  <si>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</si>
  <si>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</si>
  <si>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</si>
  <si>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</si>
  <si>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</si>
  <si>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</si>
  <si>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</si>
  <si>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</si>
  <si>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</si>
  <si>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</si>
  <si>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</si>
  <si>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</si>
  <si>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</si>
  <si>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</si>
  <si>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</si>
  <si>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</si>
  <si>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</si>
  <si>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</si>
  <si>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</si>
  <si>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</si>
  <si>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</si>
  <si>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</si>
  <si>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</si>
  <si>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</si>
  <si>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</si>
  <si>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</si>
  <si>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</si>
  <si>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</si>
  <si>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</si>
  <si>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</si>
  <si>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</si>
  <si>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</si>
  <si>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</si>
  <si>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</si>
  <si>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</si>
  <si>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</si>
  <si>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</si>
  <si>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</si>
  <si>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</si>
  <si>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</si>
  <si>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</si>
  <si>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</si>
  <si>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</si>
  <si>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</si>
  <si>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</si>
  <si>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</si>
  <si>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</si>
  <si>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</si>
  <si>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</si>
  <si>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</si>
  <si>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</si>
  <si>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</si>
  <si>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</si>
  <si>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</si>
  <si>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</si>
  <si>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</si>
  <si>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</si>
  <si>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</si>
  <si>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</si>
  <si>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</si>
  <si>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</si>
  <si>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</si>
  <si>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</si>
  <si>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</si>
  <si>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</si>
  <si>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</si>
  <si>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</si>
  <si>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</si>
  <si>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</si>
  <si>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</si>
  <si>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</si>
  <si>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</si>
  <si>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</si>
  <si>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</si>
  <si>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</si>
  <si>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</si>
  <si>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</si>
  <si>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</si>
  <si>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</si>
  <si>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</si>
  <si>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</si>
  <si>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</si>
  <si>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</si>
  <si>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</si>
  <si>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</si>
  <si>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</si>
  <si>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</si>
  <si>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</si>
  <si>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</si>
  <si>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</si>
  <si>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</si>
  <si>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</si>
  <si>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</si>
  <si>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</si>
  <si>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</si>
  <si>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</si>
  <si>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</si>
  <si>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</si>
  <si>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</si>
  <si>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</si>
  <si>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</si>
  <si>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</si>
  <si>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</si>
  <si>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</si>
  <si>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</si>
  <si>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</si>
  <si>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</si>
  <si>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</si>
  <si>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</si>
  <si>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</si>
  <si>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</si>
  <si>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</si>
  <si>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</si>
  <si>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</si>
  <si>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</si>
  <si>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</si>
  <si>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</si>
  <si>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</si>
  <si>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</si>
  <si>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</si>
  <si>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</si>
  <si>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</si>
  <si>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</si>
  <si>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</si>
  <si>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</si>
  <si>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</si>
  <si>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</si>
  <si>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</si>
  <si>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</si>
  <si>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</si>
  <si>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</si>
  <si>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</si>
  <si>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</si>
  <si>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</si>
  <si>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</si>
  <si>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</si>
  <si>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</si>
  <si>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</si>
  <si>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</si>
  <si>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</si>
  <si>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</si>
  <si>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</si>
  <si>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</si>
  <si>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</si>
  <si>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</si>
  <si>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</si>
  <si>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</si>
  <si>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</si>
  <si>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</si>
  <si>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</si>
  <si>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</si>
  <si>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</si>
  <si>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</si>
  <si>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</si>
  <si>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</si>
  <si>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</si>
  <si>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</si>
  <si>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</si>
  <si>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</si>
  <si>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</si>
  <si>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</si>
  <si>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</si>
  <si>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</si>
  <si>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</si>
  <si>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</si>
  <si>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</si>
  <si>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</si>
  <si>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</si>
  <si>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</si>
  <si>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</si>
  <si>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</si>
  <si>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</si>
  <si>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</si>
  <si>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</si>
  <si>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</si>
  <si>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</si>
  <si>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</si>
  <si>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</si>
  <si>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</si>
  <si>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</si>
  <si>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</si>
  <si>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</si>
  <si>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</si>
  <si>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</si>
  <si>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</si>
  <si>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</si>
  <si>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</si>
  <si>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</si>
  <si>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</si>
  <si>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</si>
  <si>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</si>
  <si>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</si>
  <si>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</si>
  <si>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</si>
  <si>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</si>
  <si>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</si>
  <si>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</si>
  <si>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</si>
  <si>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</si>
  <si>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</si>
  <si>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</si>
  <si>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</si>
  <si>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</si>
  <si>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</si>
  <si>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</si>
  <si>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</si>
  <si>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</si>
  <si>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</si>
  <si>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</si>
  <si>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</si>
  <si>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</si>
  <si>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</si>
  <si>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</si>
  <si>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</si>
  <si>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</si>
  <si>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</si>
  <si>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</si>
  <si>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</si>
  <si>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</si>
  <si>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</si>
  <si>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</si>
  <si>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</si>
  <si>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</si>
  <si>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</si>
  <si>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</si>
  <si>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</si>
  <si>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</si>
  <si>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</si>
  <si>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</si>
  <si>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</si>
  <si>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</si>
  <si>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</si>
  <si>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</si>
  <si>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</si>
  <si>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</si>
  <si>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</si>
  <si>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</si>
  <si>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</si>
  <si>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</si>
  <si>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</si>
  <si>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</si>
  <si>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</si>
  <si>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</si>
  <si>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</si>
  <si>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</si>
  <si>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</si>
  <si>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</si>
  <si>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</si>
  <si>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</si>
  <si>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</si>
  <si>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</si>
  <si>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</si>
  <si>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</si>
  <si>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</si>
  <si>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</si>
  <si>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</si>
  <si>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</si>
  <si>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</si>
  <si>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</si>
  <si>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</si>
  <si>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</si>
  <si>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</si>
  <si>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</si>
  <si>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</si>
  <si>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</si>
  <si>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</si>
  <si>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</si>
  <si>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</si>
  <si>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</si>
  <si>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</si>
  <si>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</si>
  <si>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</si>
  <si>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</si>
  <si>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</si>
  <si>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</si>
  <si>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</si>
  <si>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</si>
  <si>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</si>
  <si>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</si>
  <si>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</si>
  <si>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</si>
  <si>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</si>
  <si>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</si>
  <si>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</si>
  <si>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</si>
  <si>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</si>
  <si>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</si>
  <si>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</si>
  <si>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</si>
  <si>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</si>
  <si>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</si>
  <si>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</si>
  <si>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</si>
  <si>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</si>
  <si>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</si>
  <si>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</si>
  <si>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</si>
  <si>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</si>
  <si>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</si>
  <si>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</si>
  <si>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</si>
  <si>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</si>
  <si>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</si>
  <si>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</si>
  <si>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</si>
  <si>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</si>
  <si>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</si>
  <si>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</si>
  <si>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</si>
  <si>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</si>
  <si>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</si>
  <si>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</si>
  <si>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</si>
  <si>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</si>
  <si>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</si>
  <si>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</si>
  <si>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</si>
  <si>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</si>
  <si>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</si>
  <si>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</si>
  <si>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</si>
  <si>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</si>
  <si>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</si>
  <si>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</si>
  <si>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</si>
  <si>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</si>
  <si>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</si>
  <si>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</si>
  <si>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</si>
  <si>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</si>
  <si>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</si>
  <si>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</si>
  <si>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</si>
  <si>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</si>
  <si>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</si>
  <si>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</si>
  <si>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</si>
  <si>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</si>
  <si>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</si>
  <si>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</si>
  <si>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</si>
  <si>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</si>
  <si>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</si>
  <si>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</si>
  <si>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</si>
  <si>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</si>
  <si>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</si>
  <si>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</si>
  <si>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</si>
  <si>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</si>
  <si>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</si>
  <si>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</si>
  <si>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</si>
  <si>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</si>
  <si>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</si>
  <si>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</si>
  <si>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</si>
  <si>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</si>
  <si>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</si>
  <si>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</si>
  <si>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</si>
  <si>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</si>
  <si>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</si>
  <si>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</si>
  <si>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</si>
  <si>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</si>
  <si>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</si>
  <si>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</si>
  <si>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</si>
  <si>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</si>
  <si>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</si>
  <si>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</si>
  <si>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</si>
  <si>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</si>
  <si>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</si>
  <si>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</si>
  <si>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</si>
  <si>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</si>
  <si>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</si>
  <si>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</si>
  <si>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</si>
  <si>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</si>
  <si>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</si>
  <si>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</si>
  <si>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</si>
  <si>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</si>
  <si>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</si>
  <si>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</si>
  <si>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</si>
  <si>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</si>
  <si>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</si>
  <si>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</si>
  <si>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</si>
  <si>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</si>
  <si>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</si>
  <si>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</si>
  <si>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</si>
  <si>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</si>
  <si>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</si>
  <si>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</si>
  <si>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</si>
  <si>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</si>
  <si>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</si>
  <si>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</si>
  <si>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</si>
  <si>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</si>
  <si>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</si>
  <si>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</si>
  <si>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</si>
  <si>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</si>
  <si>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</si>
  <si>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</si>
  <si>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</si>
  <si>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</si>
  <si>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</si>
  <si>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</si>
  <si>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</si>
  <si>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</si>
  <si>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</si>
  <si>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</si>
  <si>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</si>
  <si>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</si>
  <si>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</si>
  <si>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</si>
  <si>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</si>
  <si>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</si>
  <si>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</si>
  <si>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</si>
  <si>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</si>
  <si>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</si>
  <si>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</si>
  <si>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</si>
  <si>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</si>
  <si>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</si>
  <si>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</si>
  <si>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</si>
  <si>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</si>
  <si>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</si>
  <si>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</si>
  <si>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</si>
  <si>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</si>
  <si>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</si>
  <si>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</si>
  <si>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</si>
  <si>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</si>
  <si>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</si>
  <si>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</si>
  <si>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</si>
  <si>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</si>
  <si>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</si>
  <si>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</si>
  <si>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</si>
  <si>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</si>
  <si>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</si>
  <si>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</si>
  <si>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</si>
  <si>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</si>
  <si>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</si>
  <si>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</si>
  <si>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</si>
  <si>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</si>
  <si>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</si>
  <si>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</si>
  <si>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</si>
  <si>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</si>
  <si>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</si>
  <si>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</si>
  <si>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</si>
  <si>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</si>
  <si>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</si>
  <si>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</si>
  <si>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</si>
  <si>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</si>
  <si>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</si>
  <si>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</si>
  <si>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</si>
  <si>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</si>
  <si>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</si>
  <si>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</si>
  <si>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</si>
  <si>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</si>
  <si>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</si>
  <si>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</si>
  <si>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</si>
  <si>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</si>
  <si>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</si>
  <si>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</si>
  <si>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</si>
  <si>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</si>
  <si>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</si>
  <si>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</si>
  <si>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</si>
  <si>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</si>
  <si>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</si>
  <si>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</si>
  <si>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</si>
  <si>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</si>
  <si>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</si>
  <si>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</si>
  <si>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</si>
  <si>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</si>
  <si>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</si>
  <si>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</si>
  <si>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</si>
  <si>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</si>
  <si>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</si>
  <si>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</si>
  <si>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</si>
  <si>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</si>
  <si>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</si>
  <si>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</si>
  <si>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</si>
  <si>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</si>
  <si>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</si>
  <si>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</si>
  <si>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</si>
  <si>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</si>
  <si>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</si>
  <si>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</si>
  <si>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</si>
  <si>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</si>
  <si>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</si>
  <si>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</si>
  <si>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</si>
  <si>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</si>
  <si>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</si>
  <si>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</si>
  <si>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</si>
  <si>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</si>
  <si>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</si>
  <si>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</si>
  <si>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</si>
  <si>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</si>
  <si>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</si>
  <si>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</si>
  <si>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</si>
  <si>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</si>
  <si>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</si>
  <si>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</si>
  <si>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</si>
  <si>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</si>
  <si>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</si>
  <si>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</si>
  <si>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</si>
  <si>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</si>
  <si>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</si>
  <si>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</si>
  <si>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</si>
  <si>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</si>
  <si>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</si>
  <si>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</si>
  <si>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</si>
  <si>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</si>
  <si>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</si>
  <si>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</si>
  <si>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</si>
  <si>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</si>
  <si>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</si>
  <si>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</si>
  <si>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</si>
  <si>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</si>
  <si>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</si>
  <si>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</si>
  <si>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</si>
  <si>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</si>
  <si>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</si>
  <si>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</si>
  <si>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</si>
  <si>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</si>
  <si>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</si>
  <si>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</si>
  <si>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</si>
  <si>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</si>
  <si>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</si>
  <si>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</si>
  <si>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</si>
  <si>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</si>
  <si>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G</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</si>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</sst>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582480</xdr:colOff>
      <xdr:row>4</xdr:row>
      <xdr:rowOff>474480</xdr:rowOff>
    </xdr:to>
    <xdr:pic>
      <xdr:nvPicPr>
        <xdr:cNvPr id="1" name="CommandButton1"/>
        <xdr:cNvPicPr/>
      </xdr:nvPicPr>
      <xdr:blipFill>
        <a:blip r:embed="rId1"/>
        <a:stretch/>
      </xdr:blipFill>
      <xdr:spPr>
        <a:xfrm>
          <a:off x="10289160" y="851040"/>
          <a:ext cx="1478880" cy="74736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524880</xdr:colOff>
      <xdr:row>3</xdr:row>
      <xdr:rowOff>78480</xdr:rowOff>
    </xdr:to>
    <xdr:pic>
      <xdr:nvPicPr>
        <xdr:cNvPr id="2" name="CommandButton2"/>
        <xdr:cNvPicPr/>
      </xdr:nvPicPr>
      <xdr:blipFill>
        <a:blip r:embed="rId2"/>
        <a:stretch/>
      </xdr:blipFill>
      <xdr:spPr>
        <a:xfrm>
          <a:off x="11906640" y="544680"/>
          <a:ext cx="1087560" cy="45756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str">
        <f aca="false" t="array" ref="B2:B2">+MASTER!Methodology2</f>
        <v>Consumer Products Rating Methodology</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Market positioning</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Global market leader positions</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High international market shares (top three) in all product categories</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Good international market shares (top 10) in most product categories</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High domestic market shares in most product categories</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Low market shares in most product categories</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Weak market shares in all product categories</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Size and pricing power</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Very large comparative size (revenue over EUR 25bn), very strong purchasing/ bargaining power and price-setting ability</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Large comparative size (revenue EUR 5bn-25bn), strong purchasing/ bargaining power and price-setting ability</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Medium-size company (revenue EUR 1bn-5bn), and/or good purchasing/ bargaining power</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Below-average size (revenue EUR 250m-1bn), and/or adequate purchasing/bargaining power</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Small comparative size (revenue under EUR 250m), somewhat weak purchasing/bargaining power and/or limited ability to set prices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Small comparative size (revenue under EUR 250m), somewhat weak purchasing/bargaining power and/or limited ability to set prices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Geographical</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Global presence; leading player worldwide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Strong international presence; major player in different continents</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Adequate international presence; operating in many countries, regions and locations</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Moderate diversification by country, region and location</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Low diversification by country, region and location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Single country; weak diversification by region or location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Supplier and customer</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Broadly diversified regarding number of customers and suppliers</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Broadly diversified regarding number of customers and suppliers</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Adequately diversified regarding number of customers and suppliers</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Some dependence on certain customers and/or suppliers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Heavy dependence on single customer and/or supplier</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Heavy dependence on single customer and/or supplier</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Product offering and mix</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Presence in numerous product categories (above 10);  high share of non-cyclical products</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Presence in numerous product categories (above 10);  high share of non-cyclical products</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Balanced presence in several product categories; predominance of non-cyclical products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Presence in few product categories; predominance  of cyclical products</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Concentration in one product category</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Single cyclical product category</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Distribution network</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Broadly diversified regarding number of well-established distribution channels</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Broadly diversified regarding number of well-established distribution channels</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Adequately diversified regarding number of well-established distribution channels</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Concentration on few distribution channels</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Heavy dependency on a single distribution channel</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Heavy dependency on a single distribution channel</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EBITDA margin</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&gt;30%</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20%-30%</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15%-20%</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5%-15%</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0%-5%</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Negative</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Volatility</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Low to medium</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Low to medium</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Low to medium</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Medium to high</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Medium to high</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Medium to high</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Brand strenght</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Brand Value and Recognition</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Portfolio of several globally well-known brands with a long tradition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Global brand and/or portfolio of international and long-established brands</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International well-established brands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Domestically well-known brands or still developing international brands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Domestically known/regionally well-known brands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Domestically less-known brands (incl. third party producers)</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Brand Positioning</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Luxury brands;  scarce or hardly replaceable products</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Premium segment, reflecting generally very high-quality attributes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Mid-to-upper end price levels, usually reflecting good quality attributes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Mid-to-low end price levels, reflecting average quality attributes</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Low-end price level, generally linked to low quality attributes or easily replaceable products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Low-end price level, generally linked to low quality attributes or easily replaceable products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Sustainable growth</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Growth above reference market; high investments into brand/product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Growth above reference market; high investments into brand/product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Growth slightly above reference market; above-average investments in brand/product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Growth aligned or slightly below reference market; moderate investments in brand/product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Growth below reference market, limited investments in brand/product</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Heavily declining revenue trend; no investment in brand and/or negative public recognition</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C2" activeCellId="0" sqref="C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t="s">
        <v>17</v>
      </c>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63</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135</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122</v>
      </c>
    </row>
    <row r="22" s="43" customFormat="true" ht="15" hidden="false" customHeight="true" outlineLevel="0" collapsed="false">
      <c r="B22" s="61" t="s">
        <v>333</v>
      </c>
      <c r="C22" s="75" t="s">
        <v>135</v>
      </c>
    </row>
    <row r="23" s="43" customFormat="true" ht="15" hidden="false" customHeight="true" outlineLevel="0" collapsed="false">
      <c r="B23" s="61" t="s">
        <v>1480</v>
      </c>
      <c r="C23" s="75" t="s">
        <v>122</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193</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27.329</v>
      </c>
      <c r="D38" s="84" t="n">
        <v>27.329</v>
      </c>
      <c r="E38" s="84" t="n">
        <v>27.329</v>
      </c>
      <c r="F38" s="84" t="n">
        <v>36.8</v>
      </c>
      <c r="G38" s="84" t="n">
        <v>36.8</v>
      </c>
      <c r="H38" s="84" t="n">
        <v>27.329</v>
      </c>
      <c r="I38" s="84" t="n">
        <v>27.329</v>
      </c>
      <c r="J38" s="84" t="n">
        <v>27.329</v>
      </c>
      <c r="K38" s="84" t="n">
        <v>27.329</v>
      </c>
      <c r="L38" s="84" t="n">
        <v>4.862</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21.5318574237488</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2026-04-27T04:40:03Z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