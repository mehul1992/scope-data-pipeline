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haredStrings.xml" ContentType="application/vnd.openxmlformats-officedocument.spreadsheetml.sharedStrings+xml"/>
  <Override PartName="/xl/comments1.xml" ContentType="application/vnd.openxmlformats-officedocument.spreadsheetml.comments+xml"/>
  <Override PartName="/xl/comments4.xml" ContentType="application/vnd.openxmlformats-officedocument.spreadsheetml.comments+xml"/>
  <Override PartName="/xl/theme/theme1.xml" ContentType="application/vnd.openxmlformats-officedocument.theme+xml"/>
  <Override PartName="/xl/drawings/vmlDrawing1.vml" ContentType="application/vnd.openxmlformats-officedocument.vmlDrawing"/>
  <Override PartName="/xl/drawings/drawing1.xml" ContentType="application/vnd.openxmlformats-officedocument.drawing+xml"/>
  <Override PartName="/xl/drawings/vmlDrawing2.vml" ContentType="application/vnd.openxmlformats-officedocument.vmlDrawing"/>
  <Override PartName="/xl/media/image1.wmf" ContentType="image/x-wmf"/>
  <Override PartName="/xl/media/image2.wmf" ContentType="image/x-wmf"/>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3" activeTab="3"/>
  </bookViews>
  <sheets>
    <sheet name="BusinessRiskProfiles" sheetId="1" state="hidden" r:id="rId4"/>
    <sheet name="ListData" sheetId="2" state="hidden" r:id="rId5"/>
    <sheet name="Settings" sheetId="3" state="hidden" r:id="rId6"/>
    <sheet name="MASTER" sheetId="4" state="visible" r:id="rId7"/>
  </sheets>
  <definedNames>
    <definedName function="false" hidden="false" name="AccountingPrinciplesList" vbProcedure="false">ListData!$K$2:$K$4</definedName>
    <definedName function="false" hidden="false" name="CorporateSectorList" vbProcedure="false">ListData!$AP$2:$AP$18</definedName>
    <definedName function="false" hidden="false" name="CountryList" vbProcedure="false">ListData!$N$2:$N$40</definedName>
    <definedName function="false" hidden="false" name="CurrencyList" vbProcedure="false">ListData!$O$2:$O$30</definedName>
    <definedName function="false" hidden="false" name="DayList" vbProcedure="false">ListData!$M$2:$M$33</definedName>
    <definedName function="false" hidden="false" name="DiscretionaryCashFlowList" vbProcedure="false">ListData!$AA$2:$AA$4</definedName>
    <definedName function="false" hidden="false" name="FreeoperatingcashflowList" vbProcedure="false">ListData!$W$2:$W$7</definedName>
    <definedName function="false" hidden="false" name="FrequencyList" vbProcedure="false">ListData!$R$2:$R$10</definedName>
    <definedName function="false" hidden="false" name="HeadingsList" vbProcedure="false">ListData!$AE$2:$AE$10</definedName>
    <definedName function="false" hidden="false" name="IndustryWeightList" vbProcedure="false">ListData!$AT$2:$AT$22</definedName>
    <definedName function="false" hidden="false" name="IssuerIdList" vbProcedure="false">ListData!$AO$2:$AO$681</definedName>
    <definedName function="false" hidden="false" name="LiquidityList" vbProcedure="false">ListData!$Z$2:$Z$9</definedName>
    <definedName function="false" hidden="false" name="LTVList" vbProcedure="false">ListData!$AB$2:$AB$6</definedName>
    <definedName function="false" hidden="false" name="MASTERAddressList" vbProcedure="false">ListData!$AH$2:$AH$128</definedName>
    <definedName function="false" hidden="false" name="MASTERFirstColumnAddressList" vbProcedure="false">ListData!$AM$2:$AM$73</definedName>
    <definedName function="false" hidden="false" name="MASTERFirstColumnNameList" vbProcedure="false">ListData!$AL$2:$AL$73</definedName>
    <definedName function="false" hidden="false" name="MASTERHeaderList" vbProcedure="false">ListData!$AK$2:$AK$128</definedName>
    <definedName function="false" hidden="false" name="MASTERRangeNameList" vbProcedure="false">ListData!$AI$2:$AI$128</definedName>
    <definedName function="false" hidden="false" name="MASTERValidationList" vbProcedure="false">ListData!$AJ$2:$AJ$128</definedName>
    <definedName function="false" hidden="false" name="MethodologyList" vbProcedure="false">ListData!$A$2:$A$17</definedName>
    <definedName function="false" hidden="false" name="MonthList" vbProcedure="false">ListData!$L$2:$L$13</definedName>
    <definedName function="false" hidden="false" name="NotchingList" vbProcedure="false">ListData!$D$2:$D$10</definedName>
    <definedName function="false" hidden="false" name="OutlookList" vbProcedure="false">ListData!$G$2:$G$7</definedName>
    <definedName function="false" hidden="false" name="RatedEntityList" vbProcedure="false">ListData!$AN$2:$AN$681</definedName>
    <definedName function="false" hidden="false" name="RatingScaleList" vbProcedure="false">ListData!$E$2:$E$22</definedName>
    <definedName function="false" hidden="false" name="RecoveryExpectationsList" vbProcedure="false">ListData!$J$2:$J$7</definedName>
    <definedName function="false" hidden="false" name="ReportingUnitList" vbProcedure="false">ListData!$P$2:$P$4</definedName>
    <definedName function="false" hidden="false" name="ScopeadjusteddebtList" vbProcedure="false">ListData!$X$2:$X$9</definedName>
    <definedName function="false" hidden="false" name="ScopeadjustedEBITDAList" vbProcedure="false">ListData!$U$2:$U$6</definedName>
    <definedName function="false" hidden="false" name="ScopeadjustedFFOList" vbProcedure="false">ListData!$V$2:$V$8</definedName>
    <definedName function="false" hidden="false" name="ScopeadjustedinterestsList" vbProcedure="false">ListData!$Y$2:$Y$8</definedName>
    <definedName function="false" hidden="false" name="ScopeMetricsList" vbProcedure="false">ListData!$T$2:$T$7</definedName>
    <definedName function="false" hidden="false" name="SectorList" vbProcedure="false">ListData!$B$2:$B$49</definedName>
    <definedName function="false" hidden="false" name="SectorRiskScoreList" vbProcedure="false">ListData!$C$2:$C$49</definedName>
    <definedName function="false" hidden="false" name="SegmentationCriteriaList" vbProcedure="false">ListData!$AU$2:$AU$4</definedName>
    <definedName function="false" hidden="false" name="ShortTermDebtRatingCriteriaList" vbProcedure="false">ListData!$I$2:$I$4</definedName>
    <definedName function="false" hidden="false" name="ShortTermRatingsList" vbProcedure="false">ListData!$H$2:$H$6</definedName>
    <definedName function="false" hidden="false" name="StatusList" vbProcedure="false">ListData!$S$2:$S$3</definedName>
    <definedName function="false" hidden="false" name="TotalArray2List" vbProcedure="false">ListData!$AG$2:$AG$63</definedName>
    <definedName function="false" hidden="false" name="TotalArrayList" vbProcedure="false">ListData!$AF$2:$AF$63</definedName>
    <definedName function="false" hidden="false" name="YearList" vbProcedure="false">ListData!$Q$2:$Q$35</definedName>
    <definedName function="false" hidden="true" name="_xleta.MAX" vbProcedure="false">#NAME?</definedName>
    <definedName function="false" hidden="false" localSheetId="3" name="AccountingPrinciples" vbProcedure="false">MASTER!$C$14</definedName>
    <definedName function="false" hidden="false" localSheetId="3" name="AddFactors" vbProcedure="false">MASTER!$C$25</definedName>
    <definedName function="false" hidden="false" localSheetId="3" name="BankingRelationshipsAndStandingInTheCapitalMarkets" vbProcedure="false">master!#ref!</definedName>
    <definedName function="false" hidden="false" localSheetId="3" name="BRP" vbProcedure="false">MASTER!$C$18</definedName>
    <definedName function="false" hidden="false" localSheetId="3" name="CashflowGeneration" vbProcedure="false">MASTER!$C$30</definedName>
    <definedName function="false" hidden="false" localSheetId="3" name="CompetitivePositioning" vbProcedure="false">MASTER!$C$20</definedName>
    <definedName function="false" hidden="false" localSheetId="3" name="CorporateSector" vbProcedure="false">MASTER!$C$3</definedName>
    <definedName function="false" hidden="false" localSheetId="3" name="Country" vbProcedure="false">MASTER!$C$13</definedName>
    <definedName function="false" hidden="false" localSheetId="3" name="Currency" vbProcedure="false">MASTER!$C$12</definedName>
    <definedName function="false" hidden="false" localSheetId="3" name="DebtProtection" vbProcedure="false">MASTER!$C$29</definedName>
    <definedName function="false" hidden="false" localSheetId="3" name="Diversification" vbProcedure="false">MASTER!$C$22</definedName>
    <definedName function="false" hidden="false" localSheetId="3" name="EndofBusinessYearDay" vbProcedure="false">MASTER!$D$15</definedName>
    <definedName function="false" hidden="false" localSheetId="3" name="EndofBusinessYearMonth" vbProcedure="false">MASTER!$C$15</definedName>
    <definedName function="false" hidden="false" localSheetId="3" name="ExpectedRecoverySDR" vbProcedure="false">master!#ref!</definedName>
    <definedName function="false" hidden="false" localSheetId="3" name="ExpectedRecoverySHDR" vbProcedure="false">master!#ref!</definedName>
    <definedName function="false" hidden="false" localSheetId="3" name="ExpectedRecoverySSDR" vbProcedure="false">master!#ref!</definedName>
    <definedName function="false" hidden="false" localSheetId="3" name="ExpectedRecoverySUDR" vbProcedure="false">master!#ref!</definedName>
    <definedName function="false" hidden="false" localSheetId="3" name="FinancialPolicy" vbProcedure="false">master!#ref!</definedName>
    <definedName function="false" hidden="false" localSheetId="3" name="FRP" vbProcedure="false">MASTER!$C$27</definedName>
    <definedName function="false" hidden="false" localSheetId="3" name="Governance" vbProcedure="false">master!#ref!</definedName>
    <definedName function="false" hidden="false" localSheetId="3" name="IndustryRisk1" vbProcedure="false">MASTER!$C$7</definedName>
    <definedName function="false" hidden="false" localSheetId="3" name="IndustryRisk2" vbProcedure="false">MASTER!$D$7</definedName>
    <definedName function="false" hidden="false" localSheetId="3" name="IndustryRisk3" vbProcedure="false">MASTER!$E$7</definedName>
    <definedName function="false" hidden="false" localSheetId="3" name="IndustryRisk4" vbProcedure="false">MASTER!$F$7</definedName>
    <definedName function="false" hidden="false" localSheetId="3" name="IndustryRisk5" vbProcedure="false">MASTER!$G$7</definedName>
    <definedName function="false" hidden="false" localSheetId="3" name="IndustryRisk6" vbProcedure="false">MASTER!$H$7</definedName>
    <definedName function="false" hidden="false" localSheetId="3" name="IndustryRisk7" vbProcedure="false">MASTER!$I$7</definedName>
    <definedName function="false" hidden="false" localSheetId="3" name="IndustryRiskScore1" vbProcedure="false">MASTER!$C$8</definedName>
    <definedName function="false" hidden="false" localSheetId="3" name="IndustryRiskScore2" vbProcedure="false">MASTER!$D$8</definedName>
    <definedName function="false" hidden="false" localSheetId="3" name="IndustryRiskScore3" vbProcedure="false">MASTER!$E$8</definedName>
    <definedName function="false" hidden="false" localSheetId="3" name="IndustryRiskScore4" vbProcedure="false">MASTER!$F$8</definedName>
    <definedName function="false" hidden="false" localSheetId="3" name="IndustryRiskScore5" vbProcedure="false">MASTER!$G$8</definedName>
    <definedName function="false" hidden="false" localSheetId="3" name="IndustryRiskScore6" vbProcedure="false">MASTER!$H$8</definedName>
    <definedName function="false" hidden="false" localSheetId="3" name="IndustryRiskScore7" vbProcedure="false">MASTER!$I$8</definedName>
    <definedName function="false" hidden="false" localSheetId="3" name="IndustryWeight1" vbProcedure="false">MASTER!$C$9</definedName>
    <definedName function="false" hidden="false" localSheetId="3" name="IndustryWeight2" vbProcedure="false">MASTER!$D$9</definedName>
    <definedName function="false" hidden="false" localSheetId="3" name="IndustryWeight3" vbProcedure="false">MASTER!$E$9</definedName>
    <definedName function="false" hidden="false" localSheetId="3" name="IndustryWeight4" vbProcedure="false">MASTER!$F$9</definedName>
    <definedName function="false" hidden="false" localSheetId="3" name="IndustryWeight5" vbProcedure="false">MASTER!$G$9</definedName>
    <definedName function="false" hidden="false" localSheetId="3" name="IndustryWeight6" vbProcedure="false">MASTER!$H$9</definedName>
    <definedName function="false" hidden="false" localSheetId="3" name="IndustryWeight7" vbProcedure="false">MASTER!$I$9</definedName>
    <definedName function="false" hidden="false" localSheetId="3" name="InternallyAndExternallyProvidedLiquidityCover" vbProcedure="false">master!#ref!</definedName>
    <definedName function="false" hidden="false" localSheetId="3" name="InternallyProvidedLiquidityCover" vbProcedure="false">master!#ref!</definedName>
    <definedName function="false" hidden="false" localSheetId="3" name="IRfinal" vbProcedure="false">master!#ref!</definedName>
    <definedName function="false" hidden="false" localSheetId="3" name="IRP" vbProcedure="false">MASTER!$C$19</definedName>
    <definedName function="false" hidden="false" localSheetId="3" name="IRSA" vbProcedure="false">master!#ref!</definedName>
    <definedName function="false" hidden="false" localSheetId="3" name="IssuerOutlookfinal" vbProcedure="false">master!#ref!</definedName>
    <definedName function="false" hidden="false" localSheetId="3" name="Leverage" vbProcedure="false">MASTER!$C$28</definedName>
    <definedName function="false" hidden="false" localSheetId="3" name="LiquidityScore" vbProcedure="false">MASTER!$C$31</definedName>
    <definedName function="false" hidden="false" localSheetId="3" name="MarketPosition" vbProcedure="false">MASTER!$C$21</definedName>
    <definedName function="false" hidden="false" localSheetId="3" name="Methodology1" vbProcedure="false">MASTER!$C$5</definedName>
    <definedName function="false" hidden="false" localSheetId="3" name="Methodology2" vbProcedure="false">MASTER!$D$5</definedName>
    <definedName function="false" hidden="false" localSheetId="3" name="Methodology3" vbProcedure="false">MASTER!$E$5</definedName>
    <definedName function="false" hidden="false" localSheetId="3" name="Methodology4" vbProcedure="false">MASTER!$F$5</definedName>
    <definedName function="false" hidden="false" localSheetId="3" name="Methodology5" vbProcedure="false">MASTER!$G$5</definedName>
    <definedName function="false" hidden="false" localSheetId="3" name="Methodology6" vbProcedure="false">MASTER!$H$5</definedName>
    <definedName function="false" hidden="false" localSheetId="3" name="Methodology7" vbProcedure="false">MASTER!$I$5</definedName>
    <definedName function="false" hidden="false" localSheetId="3" name="NegativeRatingChangeDriver" vbProcedure="false">master!#ref!</definedName>
    <definedName function="false" hidden="false" localSheetId="3" name="ParentSupport" vbProcedure="false">master!#ref!</definedName>
    <definedName function="false" hidden="false" localSheetId="3" name="PeerContext" vbProcedure="false">master!#ref!</definedName>
    <definedName function="false" hidden="false" localSheetId="3" name="PositiveRatingChangeDriver" vbProcedure="false">master!#ref!</definedName>
    <definedName function="false" hidden="false" localSheetId="3" name="Profitability" vbProcedure="false">MASTER!$C$23</definedName>
    <definedName function="false" hidden="false" localSheetId="3" name="RatedEntity" vbProcedure="false">MASTER!$C$2</definedName>
    <definedName function="false" hidden="false" localSheetId="3" name="SegmentationCriteria" vbProcedure="false">MASTER!$C$10</definedName>
    <definedName function="false" hidden="false" localSheetId="3" name="SeniorSecuredDebt" vbProcedure="false">master!#ref!</definedName>
    <definedName function="false" hidden="false" localSheetId="3" name="SeniorUnsecuredDebt" vbProcedure="false">master!#ref!</definedName>
    <definedName function="false" hidden="false" localSheetId="3" name="ShorttermDebt" vbProcedure="false">master!#ref!</definedName>
    <definedName function="false" hidden="false" localSheetId="3" name="Subfactor1_1" vbProcedure="false">master!#ref!</definedName>
    <definedName function="false" hidden="false" localSheetId="3" name="Subfactor1_2" vbProcedure="false">master!#ref!</definedName>
    <definedName function="false" hidden="false" localSheetId="3" name="Subfactor1_3" vbProcedure="false">master!#ref!</definedName>
    <definedName function="false" hidden="false" localSheetId="3" name="Subfactor1_4" vbProcedure="false">master!#ref!</definedName>
    <definedName function="false" hidden="false" localSheetId="3" name="Subfactor1_5" vbProcedure="false">master!#ref!</definedName>
    <definedName function="false" hidden="false" localSheetId="3" name="Subfactor1_6" vbProcedure="false">master!#ref!</definedName>
    <definedName function="false" hidden="false" localSheetId="3" name="Subfactor2_1" vbProcedure="false">master!#ref!</definedName>
    <definedName function="false" hidden="false" localSheetId="3" name="Subfactor2_2" vbProcedure="false">master!#ref!</definedName>
    <definedName function="false" hidden="false" localSheetId="3" name="Subfactor2_3" vbProcedure="false">master!#ref!</definedName>
    <definedName function="false" hidden="false" localSheetId="3" name="Subfactor2_4" vbProcedure="false">master!#ref!</definedName>
    <definedName function="false" hidden="false" localSheetId="3" name="Subfactor2_5" vbProcedure="false">master!#ref!</definedName>
    <definedName function="false" hidden="false" localSheetId="3" name="Subfactor2_6" vbProcedure="false">master!#ref!</definedName>
    <definedName function="false" hidden="false" localSheetId="3" name="Subfactor3_1" vbProcedure="false">master!#ref!</definedName>
    <definedName function="false" hidden="false" localSheetId="3" name="Subfactor3_2" vbProcedure="false">master!#ref!</definedName>
    <definedName function="false" hidden="false" localSheetId="3" name="Subfactor3_3" vbProcedure="false">master!#ref!</definedName>
    <definedName function="false" hidden="false" localSheetId="3" name="Subfactor3_4" vbProcedure="false">master!#ref!</definedName>
    <definedName function="false" hidden="false" localSheetId="3" name="Subfactor3_5" vbProcedure="false">master!#ref!</definedName>
    <definedName function="false" hidden="false" localSheetId="3" name="Subfactor3_6" vbProcedure="false">master!#ref!</definedName>
    <definedName function="false" hidden="false" localSheetId="3" name="Subfactor4_1" vbProcedure="false">master!#ref!</definedName>
    <definedName function="false" hidden="false" localSheetId="3" name="Subfactor4_2" vbProcedure="false">master!#ref!</definedName>
    <definedName function="false" hidden="false" localSheetId="3" name="Subfactor4_3" vbProcedure="false">master!#ref!</definedName>
    <definedName function="false" hidden="false" localSheetId="3" name="Subfactor4_4" vbProcedure="false">master!#ref!</definedName>
    <definedName function="false" hidden="false" localSheetId="3" name="Subfactor4_5" vbProcedure="false">master!#ref!</definedName>
    <definedName function="false" hidden="false" localSheetId="3" name="Subfactor4_6" vbProcedure="false">master!#ref!</definedName>
    <definedName function="false" hidden="false" localSheetId="3" name="Subfactor5_1" vbProcedure="false">master!#ref!</definedName>
    <definedName function="false" hidden="false" localSheetId="3" name="Subfactor5_2" vbProcedure="false">master!#ref!</definedName>
    <definedName function="false" hidden="false" localSheetId="3" name="Subfactor5_3" vbProcedure="false">master!#ref!</definedName>
    <definedName function="false" hidden="false" localSheetId="3" name="Subfactor5_4" vbProcedure="false">master!#ref!</definedName>
    <definedName function="false" hidden="false" localSheetId="3" name="Subfactor5_5" vbProcedure="false">master!#ref!</definedName>
    <definedName function="false" hidden="false" localSheetId="3" name="Subfactor5_6" vbProcedure="false">master!#ref!</definedName>
    <definedName function="false" hidden="false" localSheetId="3" name="SubordinatedDebt" vbProcedure="false">master!#ref!</definedName>
    <definedName function="false" hidden="false" localSheetId="3" name="SubordinatedHybridDebt" vbProcedure="false">master!#ref!</definedName>
    <definedName function="false" hidden="false" localSheetId="3" name="SubSubfactor_1" vbProcedure="false">master!#ref!</definedName>
    <definedName function="false" hidden="false" localSheetId="3" name="SubSubfactor_10" vbProcedure="false">master!#ref!</definedName>
    <definedName function="false" hidden="false" localSheetId="3" name="SubSubfactor_11" vbProcedure="false">master!#ref!</definedName>
    <definedName function="false" hidden="false" localSheetId="3" name="SubSubfactor_12" vbProcedure="false">master!#ref!</definedName>
    <definedName function="false" hidden="false" localSheetId="3" name="SubSubfactor_13" vbProcedure="false">master!#ref!</definedName>
    <definedName function="false" hidden="false" localSheetId="3" name="SubSubfactor_14" vbProcedure="false">master!#ref!</definedName>
    <definedName function="false" hidden="false" localSheetId="3" name="SubSubfactor_15" vbProcedure="false">master!#ref!</definedName>
    <definedName function="false" hidden="false" localSheetId="3" name="SubSubfactor_16" vbProcedure="false">master!#ref!</definedName>
    <definedName function="false" hidden="false" localSheetId="3" name="SubSubfactor_17" vbProcedure="false">master!#ref!</definedName>
    <definedName function="false" hidden="false" localSheetId="3" name="SubSubfactor_18" vbProcedure="false">master!#ref!</definedName>
    <definedName function="false" hidden="false" localSheetId="3" name="SubSubfactor_19" vbProcedure="false">master!#ref!</definedName>
    <definedName function="false" hidden="false" localSheetId="3" name="SubSubfactor_2" vbProcedure="false">master!#ref!</definedName>
    <definedName function="false" hidden="false" localSheetId="3" name="SubSubfactor_20" vbProcedure="false">master!#ref!</definedName>
    <definedName function="false" hidden="false" localSheetId="3" name="SubSubfactor_21" vbProcedure="false">master!#ref!</definedName>
    <definedName function="false" hidden="false" localSheetId="3" name="SubSubfactor_22" vbProcedure="false">master!#ref!</definedName>
    <definedName function="false" hidden="false" localSheetId="3" name="SubSubfactor_23" vbProcedure="false">master!#ref!</definedName>
    <definedName function="false" hidden="false" localSheetId="3" name="SubSubfactor_24" vbProcedure="false">master!#ref!</definedName>
    <definedName function="false" hidden="false" localSheetId="3" name="SubSubfactor_25" vbProcedure="false">master!#ref!</definedName>
    <definedName function="false" hidden="false" localSheetId="3" name="SubSubfactor_3" vbProcedure="false">master!#ref!</definedName>
    <definedName function="false" hidden="false" localSheetId="3" name="SubSubfactor_4" vbProcedure="false">master!#ref!</definedName>
    <definedName function="false" hidden="false" localSheetId="3" name="SubSubfactor_5" vbProcedure="false">master!#ref!</definedName>
    <definedName function="false" hidden="false" localSheetId="3" name="SubSubfactor_6" vbProcedure="false">master!#ref!</definedName>
    <definedName function="false" hidden="false" localSheetId="3" name="SubSubfactor_7" vbProcedure="false">master!#ref!</definedName>
    <definedName function="false" hidden="false" localSheetId="3" name="SubSubfactor_8" vbProcedure="false">master!#ref!</definedName>
    <definedName function="false" hidden="false" localSheetId="3" name="SubSubfactor_9" vbProcedure="false">master!#ref!</definedName>
    <definedName function="false" hidden="false" localSheetId="3" name="SUPPRD" vbProcedure="false">master!#ref!</definedName>
    <definedName function="false" hidden="false" localSheetId="3" name="Unit" vbProcedure="false">MASTER!$D$12</definedName>
  </definedNames>
  <calcPr iterateCount="100" refMode="A1" iterate="false" iterateDelta="0.0001"/>
  <extLst>
    <ext xmlns:loext="http://schemas.libreoffice.org/" uri="{7626C862-2A13-11E5-B345-FEFF819CDC9F}">
      <loext:extCalcPr stringRefSyntax="ExcelA1"/>
    </ext>
  </extLst>
</workbook>
</file>

<file path=xl/comments1.xml><?xml version="1.0" encoding="utf-8"?>
<comments xmlns="http://schemas.openxmlformats.org/spreadsheetml/2006/main" xmlns:xdr="http://schemas.openxmlformats.org/drawingml/2006/spreadsheetDrawing">
  <authors>
    <author>Eugenio Piliego</author>
    <author>Sebastian Zank</author>
  </authors>
  <commentList>
    <comment ref="A142" authorId="0">
      <text>
        <r>
          <rPr>
            <sz val="10"/>
            <rFont val="Arial"/>
            <family val="2"/>
          </rPr>
          <t xml:space="preserve">Eugenio Piliego:
I inserted - please check if compliant
</t>
        </r>
      </text>
    </comment>
    <comment ref="A180" authorId="0">
      <text>
        <r>
          <rPr>
            <sz val="10"/>
            <rFont val="Arial"/>
            <family val="2"/>
          </rPr>
          <t xml:space="preserve">Eugenio Piliego:
I inserted - please check if compliant
</t>
        </r>
      </text>
    </comment>
    <comment ref="A218" authorId="0">
      <text>
        <r>
          <rPr>
            <sz val="10"/>
            <rFont val="Arial"/>
            <family val="2"/>
          </rPr>
          <t xml:space="preserve">Eugenio Piliego:
I inserted - please check if compliant
</t>
        </r>
      </text>
    </comment>
    <comment ref="A256" authorId="0">
      <text>
        <r>
          <rPr>
            <sz val="10"/>
            <rFont val="Arial"/>
            <family val="2"/>
          </rPr>
          <t xml:space="preserve">Eugenio Piliego:
I inserted - please check if compliant
</t>
        </r>
      </text>
    </comment>
    <comment ref="N2" authorId="0">
      <text>
        <r>
          <rPr>
            <sz val="10"/>
            <rFont val="Arial"/>
            <family val="2"/>
          </rPr>
          <t xml:space="preserve">Eugenio Piliego:
The two subsectors have different factors for market share and diversification</t>
        </r>
      </text>
    </comment>
    <comment ref="P5" authorId="0">
      <text>
        <r>
          <rPr>
            <sz val="10"/>
            <rFont val="Arial"/>
            <family val="2"/>
          </rPr>
          <t xml:space="preserve">Eugenio Piliego:
replaced by non-discretionary</t>
        </r>
      </text>
    </comment>
    <comment ref="R2" authorId="1">
      <text>
        <r>
          <rPr>
            <sz val="10"/>
            <rFont val="Arial"/>
            <family val="2"/>
          </rPr>
          <t xml:space="preserve">Sebastian Zank:
new granularity after the finalisation of the meth</t>
        </r>
      </text>
    </comment>
    <comment ref="U2" authorId="0">
      <text>
        <r>
          <rPr>
            <sz val="10"/>
            <rFont val="Arial"/>
            <family val="2"/>
          </rPr>
          <t xml:space="preserve">Eugenio Piliego:
only specific factors considered</t>
        </r>
      </text>
    </comment>
    <comment ref="W4" authorId="1">
      <text>
        <r>
          <rPr>
            <sz val="10"/>
            <rFont val="Arial"/>
            <family val="2"/>
          </rPr>
          <t xml:space="preserve">Sebastian Zank:
new name after the finalisation of the meth
(Oil&amp;Gas: E&amp;P)</t>
        </r>
      </text>
    </comment>
    <comment ref="Y2" authorId="0">
      <text>
        <r>
          <rPr>
            <sz val="10"/>
            <rFont val="Arial"/>
            <family val="2"/>
          </rPr>
          <t xml:space="preserve">Eugenio Piliego:
had to separate innovative pharma from generic as they have completely different matrixes</t>
        </r>
      </text>
    </comment>
    <comment ref="Y3" authorId="0">
      <text>
        <r>
          <rPr>
            <sz val="10"/>
            <rFont val="Arial"/>
            <family val="2"/>
          </rPr>
          <t xml:space="preserve">Eugenio Piliego:
need to separate</t>
        </r>
      </text>
    </comment>
    <comment ref="Y12" authorId="0">
      <text>
        <r>
          <rPr>
            <sz val="10"/>
            <rFont val="Arial"/>
            <family val="2"/>
          </rPr>
          <t xml:space="preserve">Eugenio Piliego:
to check with author</t>
        </r>
      </text>
    </comment>
    <comment ref="Y19" authorId="0">
      <text>
        <r>
          <rPr>
            <sz val="10"/>
            <rFont val="Arial"/>
            <family val="2"/>
          </rPr>
          <t xml:space="preserve">Eugenio Piliego:
to check with author</t>
        </r>
      </text>
    </comment>
  </commentList>
</comments>
</file>

<file path=xl/comments4.xml><?xml version="1.0" encoding="utf-8"?>
<comments xmlns="http://schemas.openxmlformats.org/spreadsheetml/2006/main" xmlns:xdr="http://schemas.openxmlformats.org/drawingml/2006/spreadsheetDrawing">
  <authors>
    <author>Sebastian Zank</author>
  </authors>
  <commentList>
    <comment ref="C3" authorId="0">
      <text>
        <r>
          <rPr>
            <sz val="10"/>
            <rFont val="Arial"/>
            <family val="2"/>
          </rPr>
          <t xml:space="preserve">Pls choose the core sector
Hints: 
Business Services run under Industrial Goods and Services
Investment Holdings run under Financial Services
Software and IT Services run under Technology</t>
        </r>
      </text>
    </comment>
    <comment ref="C13" authorId="0">
      <text>
        <r>
          <rPr>
            <sz val="10"/>
            <rFont val="Arial"/>
            <family val="2"/>
          </rPr>
          <t xml:space="preserve">Country names are aligned to country names used by Scope's SPS team</t>
        </r>
      </text>
    </comment>
  </commentList>
</comments>
</file>

<file path=xl/sharedStrings.xml><?xml version="1.0" encoding="utf-8"?>
<sst xmlns="http://schemas.openxmlformats.org/spreadsheetml/2006/main" count="3388" uniqueCount="2365">
  <si>
    <t xml:space="preserve">RatingMethodology1</t>
  </si>
  <si>
    <t xml:space="preserve">RatingMethodology2</t>
  </si>
  <si>
    <t xml:space="preserve">RatingMethodology3</t>
  </si>
  <si>
    <t xml:space="preserve">RatingMethodology4</t>
  </si>
  <si>
    <t xml:space="preserve">RatingMethodology5</t>
  </si>
  <si>
    <t xml:space="preserve">RatingMethodology6</t>
  </si>
  <si>
    <t xml:space="preserve">Centralised Repository</t>
  </si>
  <si>
    <t xml:space="preserve">Philipp</t>
  </si>
  <si>
    <t xml:space="preserve">Eugenio</t>
  </si>
  <si>
    <t xml:space="preserve">ENDE</t>
  </si>
  <si>
    <t xml:space="preserve">Other</t>
  </si>
  <si>
    <t xml:space="preserve">RatingScaleList</t>
  </si>
  <si>
    <t xml:space="preserve">Category rating</t>
  </si>
  <si>
    <t xml:space="preserve">Rating methodology</t>
  </si>
  <si>
    <t xml:space="preserve">Automotive and Commercial Vehicle Manufacturers Rating Methodology</t>
  </si>
  <si>
    <t xml:space="preserve">Chemicals Rating Methodology</t>
  </si>
  <si>
    <t xml:space="preserve">Construction and Construction Materials Rating Methodology</t>
  </si>
  <si>
    <t xml:space="preserve">Consumer Products Rating Methodology</t>
  </si>
  <si>
    <t xml:space="preserve">European Automotive Suppliers Rating Methodology</t>
  </si>
  <si>
    <t xml:space="preserve">European Business and Consumer Services Rating Methodology</t>
  </si>
  <si>
    <t xml:space="preserve">European Real Estate Rating Methodology</t>
  </si>
  <si>
    <t xml:space="preserve">European Utilities Rating Methodology</t>
  </si>
  <si>
    <t xml:space="preserve">Investment Holding Companies Rating Methodology</t>
  </si>
  <si>
    <t xml:space="preserve">Metals and Mining Rating Methodology</t>
  </si>
  <si>
    <t xml:space="preserve">Oil and Gas Rating Methodology</t>
  </si>
  <si>
    <t xml:space="preserve">Pharmaceutical Companies’ Rating Methodology - Generic</t>
  </si>
  <si>
    <t xml:space="preserve">Pharmaceutical Companies’ Rating Methodology - Innovative</t>
  </si>
  <si>
    <t xml:space="preserve">Retail and Wholesale Rating Methodology</t>
  </si>
  <si>
    <t xml:space="preserve">Agribusiness</t>
  </si>
  <si>
    <t xml:space="preserve">AAA</t>
  </si>
  <si>
    <t xml:space="preserve">AA and above</t>
  </si>
  <si>
    <t xml:space="preserve">Chemicals: Commodity-focused chemical corporates</t>
  </si>
  <si>
    <t xml:space="preserve">Construction: Buildings and small civil engineering projects</t>
  </si>
  <si>
    <t xml:space="preserve">Consumer Products: Discretionary</t>
  </si>
  <si>
    <t xml:space="preserve">Real Estate: Commercial</t>
  </si>
  <si>
    <t xml:space="preserve">Utilities: Non-regulated power generation</t>
  </si>
  <si>
    <t xml:space="preserve">Oil&amp;Gas: Refining</t>
  </si>
  <si>
    <t xml:space="preserve">Healthcare: Generic pharmaceuticals</t>
  </si>
  <si>
    <t xml:space="preserve">Retail: Discretionary retail</t>
  </si>
  <si>
    <t xml:space="preserve">Capital Goods</t>
  </si>
  <si>
    <t xml:space="preserve">AA+</t>
  </si>
  <si>
    <t xml:space="preserve">Chemicals: Specialty chemical corporates</t>
  </si>
  <si>
    <t xml:space="preserve">Construction: Concessions</t>
  </si>
  <si>
    <t xml:space="preserve">Consumer Products: Non-Discretionary</t>
  </si>
  <si>
    <t xml:space="preserve">Real Estate: Commercial development</t>
  </si>
  <si>
    <t xml:space="preserve">Oil&amp;Gas: Upstream</t>
  </si>
  <si>
    <t xml:space="preserve">Healthcare: Healthcare Services</t>
  </si>
  <si>
    <t xml:space="preserve">Retail: Non-discretionary retail</t>
  </si>
  <si>
    <t xml:space="preserve">Leisure and Entertainment</t>
  </si>
  <si>
    <t xml:space="preserve">AA</t>
  </si>
  <si>
    <t xml:space="preserve">Construction: Construction materials</t>
  </si>
  <si>
    <t xml:space="preserve">Consumer Products: Non-durable consumer products</t>
  </si>
  <si>
    <t xml:space="preserve">Real Estate: Homebuilding</t>
  </si>
  <si>
    <t xml:space="preserve">Utilities: Quasi-regulated activities</t>
  </si>
  <si>
    <t xml:space="preserve">Healthcare: Innovative pharmaceuticals</t>
  </si>
  <si>
    <t xml:space="preserve">Media</t>
  </si>
  <si>
    <t xml:space="preserve">AA-</t>
  </si>
  <si>
    <t xml:space="preserve">Construction: Infrastructure and civil engineering</t>
  </si>
  <si>
    <t xml:space="preserve">Real Estate: Multifamily</t>
  </si>
  <si>
    <t xml:space="preserve">Utilities: Regulated network/grid operators</t>
  </si>
  <si>
    <t xml:space="preserve">Healthcare: Medical Devices</t>
  </si>
  <si>
    <t xml:space="preserve">Postal Services: Letter Mail</t>
  </si>
  <si>
    <t xml:space="preserve">A+</t>
  </si>
  <si>
    <t xml:space="preserve">A</t>
  </si>
  <si>
    <t xml:space="preserve">Utilities: Regulated power generation</t>
  </si>
  <si>
    <t xml:space="preserve">Postal Services: Parcels &amp; Express Logistics</t>
  </si>
  <si>
    <t xml:space="preserve">Utilities: Regulated water infrastructure</t>
  </si>
  <si>
    <t xml:space="preserve">Telecommunications</t>
  </si>
  <si>
    <t xml:space="preserve">A-</t>
  </si>
  <si>
    <t xml:space="preserve">Utilities: Trading activities (retail)</t>
  </si>
  <si>
    <t xml:space="preserve">Transportation: Airlines</t>
  </si>
  <si>
    <t xml:space="preserve">BBB+</t>
  </si>
  <si>
    <t xml:space="preserve">BBB</t>
  </si>
  <si>
    <t xml:space="preserve">Utilities: Trading activities (wholesale)</t>
  </si>
  <si>
    <t xml:space="preserve">Transportation: Airports</t>
  </si>
  <si>
    <t xml:space="preserve">[Market Share]</t>
  </si>
  <si>
    <t xml:space="preserve">Market share</t>
  </si>
  <si>
    <t xml:space="preserve">Transportation: Ferries</t>
  </si>
  <si>
    <t xml:space="preserve">BBB-</t>
  </si>
  <si>
    <t xml:space="preserve">Factor 1</t>
  </si>
  <si>
    <t xml:space="preserve">Two-year change in market share (percentage points) </t>
  </si>
  <si>
    <t xml:space="preserve">Market position</t>
  </si>
  <si>
    <t xml:space="preserve">Revenue (EUR bn) </t>
  </si>
  <si>
    <t xml:space="preserve">Market positioning</t>
  </si>
  <si>
    <t xml:space="preserve">Scope-adjusted EBITDA (EUR m)</t>
  </si>
  <si>
    <t xml:space="preserve">Market dominance</t>
  </si>
  <si>
    <t xml:space="preserve">Market value of assets (EUR m)</t>
  </si>
  <si>
    <t xml:space="preserve">Turnover (EUR)</t>
  </si>
  <si>
    <t xml:space="preserve">Market position over all main activities</t>
  </si>
  <si>
    <t xml:space="preserve">Market position (% of sales) </t>
  </si>
  <si>
    <t xml:space="preserve">Market size</t>
  </si>
  <si>
    <t xml:space="preserve">Market position: Home market has ‘High’ CRS</t>
  </si>
  <si>
    <t xml:space="preserve">Transportation: Rail</t>
  </si>
  <si>
    <t xml:space="preserve">BB+</t>
  </si>
  <si>
    <t xml:space="preserve">BB</t>
  </si>
  <si>
    <t xml:space="preserve">&gt; 1.5</t>
  </si>
  <si>
    <t xml:space="preserve">Commodity: Very strong market position and/or market share over all upstream and downstream activities / 
Specialty: Very strong market position and/or market share
</t>
  </si>
  <si>
    <t xml:space="preserve">&gt; 18.0</t>
  </si>
  <si>
    <t xml:space="preserve">Global market leader positions</t>
  </si>
  <si>
    <t xml:space="preserve">&gt; 8,000</t>
  </si>
  <si>
    <t xml:space="preserve">Dominant global position </t>
  </si>
  <si>
    <t xml:space="preserve">&gt; 20,000</t>
  </si>
  <si>
    <t xml:space="preserve">National or regional monopoly</t>
  </si>
  <si>
    <t xml:space="preserve">n/a</t>
  </si>
  <si>
    <t xml:space="preserve">Very strong</t>
  </si>
  <si>
    <t xml:space="preserve">Global structure (market share &gt;10% in large key markets; revenue growth significantly above market)</t>
  </si>
  <si>
    <t xml:space="preserve">Large (&gt; USD 40bn)</t>
  </si>
  <si>
    <t xml:space="preserve">Strong market shares globally</t>
  </si>
  <si>
    <t xml:space="preserve">Transportation: Road transportation and logistics</t>
  </si>
  <si>
    <t xml:space="preserve">1.5 to 0.75</t>
  </si>
  <si>
    <t xml:space="preserve">Commodity: Strong market position and/or market share over all upstream and downstream activities / 
Specialty: Very strong market position and/or market share
</t>
  </si>
  <si>
    <t xml:space="preserve">9.0 to 18.0</t>
  </si>
  <si>
    <t xml:space="preserve">High international market shares (top three) in all product categories</t>
  </si>
  <si>
    <t xml:space="preserve">1,000 to 8,000</t>
  </si>
  <si>
    <t xml:space="preserve">Dominant international position </t>
  </si>
  <si>
    <t xml:space="preserve">10,000 to 20,000</t>
  </si>
  <si>
    <t xml:space="preserve">Strong position in service territory with little competition from existing or new market participants</t>
  </si>
  <si>
    <t xml:space="preserve">&gt; 10bn</t>
  </si>
  <si>
    <t xml:space="preserve">Strong</t>
  </si>
  <si>
    <t xml:space="preserve">International, sizeable market share (&gt;20%) in home market; some specialty exposure; revenue growth slightly above market</t>
  </si>
  <si>
    <t xml:space="preserve">Medium (USD 20 to 40bn)</t>
  </si>
  <si>
    <t xml:space="preserve">Strong position  with significant market shares beyond home market </t>
  </si>
  <si>
    <t xml:space="preserve">BB-</t>
  </si>
  <si>
    <t xml:space="preserve">0.75 to 0</t>
  </si>
  <si>
    <t xml:space="preserve">Commodity: Good market position and/or market share over all upstream and downstream activities / 
Specialty: Good market position and/or market share
</t>
  </si>
  <si>
    <t xml:space="preserve">6.5 to 9.0</t>
  </si>
  <si>
    <t xml:space="preserve">Good international market shares (top 10) in most product categories</t>
  </si>
  <si>
    <t xml:space="preserve">600 to 1,000</t>
  </si>
  <si>
    <t xml:space="preserve">Good international position in most services categories (top-tier and mid-tier) </t>
  </si>
  <si>
    <t xml:space="preserve">2,000 to 10,000</t>
  </si>
  <si>
    <t xml:space="preserve">Good position in service territory with modest competition from existing or new market participants</t>
  </si>
  <si>
    <t xml:space="preserve">&gt; 1bn</t>
  </si>
  <si>
    <t xml:space="preserve">Good</t>
  </si>
  <si>
    <t xml:space="preserve">International, sizeable market share (10-20%) in home market; revenue growth in line with market</t>
  </si>
  <si>
    <t xml:space="preserve">Strong position</t>
  </si>
  <si>
    <t xml:space="preserve">B+</t>
  </si>
  <si>
    <t xml:space="preserve">B</t>
  </si>
  <si>
    <t xml:space="preserve">0 to -0.75</t>
  </si>
  <si>
    <t xml:space="preserve">Commodity: Moderate market position and/or market share over all upstream and downstream activities / 
Specialty: Moderate market position and/or market share
</t>
  </si>
  <si>
    <t xml:space="preserve">3.3 to 6.5</t>
  </si>
  <si>
    <t xml:space="preserve">High domestic market shares in most product categories</t>
  </si>
  <si>
    <t xml:space="preserve">150 to 600</t>
  </si>
  <si>
    <t xml:space="preserve">Moderate regional market shares; modest position in most service categories and/or high local market share </t>
  </si>
  <si>
    <t xml:space="preserve">500 to 2,000</t>
  </si>
  <si>
    <t xml:space="preserve">Modest position in service territory with significant competition from existing or new market participants</t>
  </si>
  <si>
    <t xml:space="preserve">&gt; 100m</t>
  </si>
  <si>
    <t xml:space="preserve">Moderate</t>
  </si>
  <si>
    <t xml:space="preserve">Main exposure to one country, sizeable market share (10-20%) in home market; revenue growth below market</t>
  </si>
  <si>
    <t xml:space="preserve">Medium position</t>
  </si>
  <si>
    <t xml:space="preserve">-0.75 to 1.5</t>
  </si>
  <si>
    <t xml:space="preserve">Commodity: Modest market position and/or market share over all upstream and downstream activities / 
Specialty: Modest market position and/or market share
</t>
  </si>
  <si>
    <t xml:space="preserve">0.1 to 3.3</t>
  </si>
  <si>
    <t xml:space="preserve">Low market shares in most product categories</t>
  </si>
  <si>
    <t xml:space="preserve">10 to 150</t>
  </si>
  <si>
    <t xml:space="preserve">Weak, mostly local position in most  service categories </t>
  </si>
  <si>
    <t xml:space="preserve">100 to 500</t>
  </si>
  <si>
    <t xml:space="preserve">Weak position in service territory with strong competition from existing or new market participants</t>
  </si>
  <si>
    <t xml:space="preserve">&lt; 100m</t>
  </si>
  <si>
    <t xml:space="preserve">Weak</t>
  </si>
  <si>
    <t xml:space="preserve">Smaller, regional exposure; no specialist position; revenue growth significantly below market</t>
  </si>
  <si>
    <t xml:space="preserve">Small (&lt; USD 20bn)</t>
  </si>
  <si>
    <t xml:space="preserve">Weak position</t>
  </si>
  <si>
    <t xml:space="preserve">B-</t>
  </si>
  <si>
    <t xml:space="preserve">CCC and below</t>
  </si>
  <si>
    <t xml:space="preserve">Decrease &gt; 1.5</t>
  </si>
  <si>
    <t xml:space="preserve">Commodity: Very modest market position and/or market share over all upstream and downstream activities / 
Specialty: Very modest market position and/or market share
</t>
  </si>
  <si>
    <t xml:space="preserve">&lt; 0.1</t>
  </si>
  <si>
    <t xml:space="preserve">Weak market shares in all product categories</t>
  </si>
  <si>
    <t xml:space="preserve">&lt; 10</t>
  </si>
  <si>
    <t xml:space="preserve">Very weak and deteriorating market share</t>
  </si>
  <si>
    <t xml:space="preserve">&lt; 100</t>
  </si>
  <si>
    <t xml:space="preserve">Very weak</t>
  </si>
  <si>
    <t xml:space="preserve">CCC</t>
  </si>
  <si>
    <t xml:space="preserve">Factor 2</t>
  </si>
  <si>
    <t xml:space="preserve">Brand positioning</t>
  </si>
  <si>
    <t xml:space="preserve">Revenue (EUR) - (Commodity-focused)</t>
  </si>
  <si>
    <t xml:space="preserve">Scope-adjusted EBITDA (EUR bn) </t>
  </si>
  <si>
    <t xml:space="preserve">Size and pricing power</t>
  </si>
  <si>
    <t xml:space="preserve">Gross lettable area (sq m)</t>
  </si>
  <si>
    <t xml:space="preserve">Recurring electricity generation volumes (TWh)</t>
  </si>
  <si>
    <t xml:space="preserve">Oil and gas production, '000 boe/d</t>
  </si>
  <si>
    <t xml:space="preserve">Market position: Home market has ‘High-medium’ or 'Medium-low' CRS</t>
  </si>
  <si>
    <t xml:space="preserve">CC</t>
  </si>
  <si>
    <t xml:space="preserve">Outstanding brand positioning across entire portfolio </t>
  </si>
  <si>
    <t xml:space="preserve">&gt; 30bn</t>
  </si>
  <si>
    <t xml:space="preserve">&gt; 7.2</t>
  </si>
  <si>
    <t xml:space="preserve">Very large comparative size (revenue over EUR 25bn), very strong purchasing/ bargaining power and price-setting ability</t>
  </si>
  <si>
    <t xml:space="preserve">Dominant position in core product group </t>
  </si>
  <si>
    <t xml:space="preserve">Revenues of over EUR 5bn; very strong bargaining power and price-setting ability</t>
  </si>
  <si>
    <t xml:space="preserve">&gt; 10m</t>
  </si>
  <si>
    <t xml:space="preserve">&gt; 200</t>
  </si>
  <si>
    <t xml:space="preserve">&gt; 1,000</t>
  </si>
  <si>
    <t xml:space="preserve">&gt; 20%</t>
  </si>
  <si>
    <t xml:space="preserve">C</t>
  </si>
  <si>
    <t xml:space="preserve">Strong positioning of (mainly premium) brands across entire portfolio</t>
  </si>
  <si>
    <t xml:space="preserve">1.8 to 7.2</t>
  </si>
  <si>
    <t xml:space="preserve">Large comparative size (revenue EUR 5bn-25bn), strong purchasing/ bargaining power and price-setting ability</t>
  </si>
  <si>
    <t xml:space="preserve">Revenues of EUR 2bn-5bn, strong bargaining power and price-setting ability </t>
  </si>
  <si>
    <t xml:space="preserve">5m to 10m</t>
  </si>
  <si>
    <t xml:space="preserve">100 to 200</t>
  </si>
  <si>
    <t xml:space="preserve">Top five global producer in chosen metals, market dominance</t>
  </si>
  <si>
    <t xml:space="preserve">500 to 1,000</t>
  </si>
  <si>
    <t xml:space="preserve">10 to 20%</t>
  </si>
  <si>
    <t xml:space="preserve">SD</t>
  </si>
  <si>
    <t xml:space="preserve">15 to 30bn</t>
  </si>
  <si>
    <t xml:space="preserve">1.0 to 1.8</t>
  </si>
  <si>
    <t xml:space="preserve">Medium-size company (revenue EUR 1bn-5bn), and/or good purchasing/ bargaining power</t>
  </si>
  <si>
    <t xml:space="preserve">Moderate position in core product group </t>
  </si>
  <si>
    <t xml:space="preserve">Revenues of EUR 1bn-2bn and/or good bargaining power </t>
  </si>
  <si>
    <t xml:space="preserve">1m to 5m</t>
  </si>
  <si>
    <t xml:space="preserve">10 to 100</t>
  </si>
  <si>
    <t xml:space="preserve">Top 20 global producer in chosen metals, or strong global niche market position or regional market dominance</t>
  </si>
  <si>
    <t xml:space="preserve">Strong position with significant market shares beyond home market </t>
  </si>
  <si>
    <t xml:space="preserve">D</t>
  </si>
  <si>
    <t xml:space="preserve">Average brand positioning across entire portfolio </t>
  </si>
  <si>
    <t xml:space="preserve">5 to 15bn</t>
  </si>
  <si>
    <t xml:space="preserve">0.25 to 1.0</t>
  </si>
  <si>
    <t xml:space="preserve">Below-average size (revenue EUR 250m-1bn), and/or adequate purchasing/bargaining power</t>
  </si>
  <si>
    <t xml:space="preserve">Modest position in core product group</t>
  </si>
  <si>
    <t xml:space="preserve">Revenues of EUR 250m-1bn and/or moderate bargaining power </t>
  </si>
  <si>
    <t xml:space="preserve">250,000 to 1m</t>
  </si>
  <si>
    <t xml:space="preserve">5 to 10</t>
  </si>
  <si>
    <t xml:space="preserve">Dominant local market position, or small player in global market</t>
  </si>
  <si>
    <t xml:space="preserve">50 to 100</t>
  </si>
  <si>
    <t xml:space="preserve">&lt; 10%</t>
  </si>
  <si>
    <t xml:space="preserve">&lt; 5bn</t>
  </si>
  <si>
    <t xml:space="preserve">0.0 to 0.25</t>
  </si>
  <si>
    <t xml:space="preserve">Small comparative size (revenue under EUR 250m), somewhat weak purchasing/bargaining power and/or limited ability to set prices </t>
  </si>
  <si>
    <t xml:space="preserve">Very modest position in core product group </t>
  </si>
  <si>
    <t xml:space="preserve">Revenues of EUR 50m-250m and/or limited bargaining power </t>
  </si>
  <si>
    <t xml:space="preserve">50,000 to 250,000</t>
  </si>
  <si>
    <t xml:space="preserve">&lt; 5</t>
  </si>
  <si>
    <t xml:space="preserve">Domestic/local player</t>
  </si>
  <si>
    <t xml:space="preserve">&lt; 50</t>
  </si>
  <si>
    <t xml:space="preserve">Weak brand positioning </t>
  </si>
  <si>
    <t xml:space="preserve">Negative</t>
  </si>
  <si>
    <t xml:space="preserve">Revenues of under EUR 50m, weak bargaining power and/or price follower </t>
  </si>
  <si>
    <t xml:space="preserve">&lt; 50,000</t>
  </si>
  <si>
    <t xml:space="preserve">&lt; 50 and rapidly declining production</t>
  </si>
  <si>
    <t xml:space="preserve">Factor 3</t>
  </si>
  <si>
    <t xml:space="preserve">R&amp;D activity - (Specialty)</t>
  </si>
  <si>
    <t xml:space="preserve">Scalability of services</t>
  </si>
  <si>
    <t xml:space="preserve">No. of apartments (residential)</t>
  </si>
  <si>
    <t xml:space="preserve">Position of power generation fleet in merit order system</t>
  </si>
  <si>
    <t xml:space="preserve">Product value-added</t>
  </si>
  <si>
    <t xml:space="preserve">Average reserve life, years </t>
  </si>
  <si>
    <t xml:space="preserve">Market position: Home market has ‘Low’ CRS</t>
  </si>
  <si>
    <t xml:space="preserve">Very strong R&amp;D ratio and intellectual property 
portfolio</t>
  </si>
  <si>
    <t xml:space="preserve">Highly scalable business across regions with low administrative entry barriers (digitalised services and/or mostly unspecialised workforce or operated by customer with some specialised workers) </t>
  </si>
  <si>
    <t xml:space="preserve">&gt; 300,000</t>
  </si>
  <si>
    <t xml:space="preserve">Very strong position</t>
  </si>
  <si>
    <t xml:space="preserve">&gt; 10</t>
  </si>
  <si>
    <t xml:space="preserve">Strong R&amp;D ratio and intellectual property 
portfolio</t>
  </si>
  <si>
    <t xml:space="preserve">150,000 to 300,000</t>
  </si>
  <si>
    <t xml:space="preserve">High share of specialised or high value-added alloyed or engineered products</t>
  </si>
  <si>
    <t xml:space="preserve">8 to 10</t>
  </si>
  <si>
    <t xml:space="preserve">Good R&amp;D ratio and intellectual property 
portfolio</t>
  </si>
  <si>
    <t xml:space="preserve">Highly scalable business across regions with moderate administrative entry barriers (digitalised services and/or mostly unspecialised workforce or operated by customer) </t>
  </si>
  <si>
    <t xml:space="preserve">30,000 to 150,000</t>
  </si>
  <si>
    <t xml:space="preserve">Good position</t>
  </si>
  <si>
    <t xml:space="preserve">6 to 8</t>
  </si>
  <si>
    <t xml:space="preserve">Moderate R&amp;D ratio and intellectual property 
portfolio</t>
  </si>
  <si>
    <t xml:space="preserve">Moderately scalable business across regions with some tenders/licences/a dministrative entry barriers (need for specialised workforce) </t>
  </si>
  <si>
    <t xml:space="preserve">7,500 to 30,000</t>
  </si>
  <si>
    <t xml:space="preserve">Modest position</t>
  </si>
  <si>
    <t xml:space="preserve">Basic commodity products or low value-added</t>
  </si>
  <si>
    <t xml:space="preserve">4 to 6</t>
  </si>
  <si>
    <t xml:space="preserve">Modest R&amp;D ratio and intellectual property 
portfolio</t>
  </si>
  <si>
    <t xml:space="preserve">Specialised/ customised businesses with local character and significant adjustments needed across regions to the service composition as well as limited scalability</t>
  </si>
  <si>
    <t xml:space="preserve">1,500 to 7,5000</t>
  </si>
  <si>
    <t xml:space="preserve">&lt; 4</t>
  </si>
  <si>
    <t xml:space="preserve">Very modest R&amp;D ratio and intellectual property 
portfolio</t>
  </si>
  <si>
    <t xml:space="preserve">High share of discontinued operations and/or not scalable service </t>
  </si>
  <si>
    <t xml:space="preserve">&lt; 1,500</t>
  </si>
  <si>
    <t xml:space="preserve">&lt; 4 and rapidly declining reserves</t>
  </si>
  <si>
    <t xml:space="preserve">Factor 4</t>
  </si>
  <si>
    <t xml:space="preserve">Maket share (%) in specific segments</t>
  </si>
  <si>
    <t xml:space="preserve">Structural aspects (growth prospects) of service territory</t>
  </si>
  <si>
    <t xml:space="preserve">Revenue stability and market access</t>
  </si>
  <si>
    <t xml:space="preserve">Refining capacity, '000 boe/d</t>
  </si>
  <si>
    <t xml:space="preserve">Sales (EUR bn)</t>
  </si>
  <si>
    <t xml:space="preserve">Dominant</t>
  </si>
  <si>
    <t xml:space="preserve">Very strong exposure to residential, commercial and industrial customers with largely hedged activities /
Economically growing service territory with many industrial and commercial customers and growing demographics</t>
  </si>
  <si>
    <t xml:space="preserve">&gt; 2,000</t>
  </si>
  <si>
    <t xml:space="preserve">&gt; 30</t>
  </si>
  <si>
    <t xml:space="preserve">High share of long-term customer contracts, with cost pass_x0002_through mechanisms where necessary. Large orderbook (&gt;1 year of production) / 
Mines or processing plants close to end-markets, often within the same country or customs union; good transport links to end-markets; direct customer relationships; own distribution or retail network, or branded products</t>
  </si>
  <si>
    <t xml:space="preserve">1,000 to 2,000</t>
  </si>
  <si>
    <t xml:space="preserve">30 to 15</t>
  </si>
  <si>
    <t xml:space="preserve">Well-diversified base of residential, commercial and industrial customers with largely hedged activities / Economically stable service territory and stable demographic developments</t>
  </si>
  <si>
    <t xml:space="preserve">200 to 1,000</t>
  </si>
  <si>
    <t xml:space="preserve"> 15 to 7.5</t>
  </si>
  <si>
    <t xml:space="preserve">Modest</t>
  </si>
  <si>
    <t xml:space="preserve">Customer mix biased towards commercial and industrial customers with largely hedged activities / 
Economically modest service territory and slightly declining demographic developments</t>
  </si>
  <si>
    <t xml:space="preserve">Mostly spot market sales / 
Mines and processing plants far from end-markets and subject to import restrictions in the destination countries; transport links are constrained, unreliable or subject to significant swings in freight costs over a cycle; high dependency on distributors</t>
  </si>
  <si>
    <t xml:space="preserve">7.5 to 1.5</t>
  </si>
  <si>
    <t xml:space="preserve">Very modest</t>
  </si>
  <si>
    <t xml:space="preserve">Strong exposure to industrial customers without major hedging activities / 
Economically weak service territory with few commercial and industrial customers and continuously shrinking demographic developments</t>
  </si>
  <si>
    <t xml:space="preserve">1.5 to 0.1</t>
  </si>
  <si>
    <t xml:space="preserve">Factor 5</t>
  </si>
  <si>
    <t xml:space="preserve">Regulatory, legal and political risk</t>
  </si>
  <si>
    <t xml:space="preserve">Neutral: assets mostly located in low-risk regions/countries (for example, the European Union, the United States, Canada or Australia)</t>
  </si>
  <si>
    <t xml:space="preserve">Negative: assets located in high-risk countries/regions</t>
  </si>
  <si>
    <t xml:space="preserve">MarketShareFactor1Industry1</t>
  </si>
  <si>
    <t xml:space="preserve">MarketShareFactor1Industry2</t>
  </si>
  <si>
    <t xml:space="preserve">MarketShareFactor1Industry3</t>
  </si>
  <si>
    <t xml:space="preserve">MarketShareFactor1Industry4</t>
  </si>
  <si>
    <t xml:space="preserve">MarketShareFactor1Industry5</t>
  </si>
  <si>
    <t xml:space="preserve">MarketShareFactor1Industry6</t>
  </si>
  <si>
    <t xml:space="preserve">MarketShareFactor2Industry1</t>
  </si>
  <si>
    <t xml:space="preserve">MarketShareFactor2Industry2</t>
  </si>
  <si>
    <t xml:space="preserve">MarketShareFactor2Industry3</t>
  </si>
  <si>
    <t xml:space="preserve">MarketShareFactor2Industry4</t>
  </si>
  <si>
    <t xml:space="preserve">MarketShareFactor2Industry5</t>
  </si>
  <si>
    <t xml:space="preserve">MarketShareFactor2Industry6</t>
  </si>
  <si>
    <t xml:space="preserve">MarketShareFactor3Industry1</t>
  </si>
  <si>
    <t xml:space="preserve">MarketShareFactor3Industry2</t>
  </si>
  <si>
    <t xml:space="preserve">MarketShareFactor3Industry3</t>
  </si>
  <si>
    <t xml:space="preserve">MarketShareFactor3Industry4</t>
  </si>
  <si>
    <t xml:space="preserve">MarketShareFactor3Industry5</t>
  </si>
  <si>
    <t xml:space="preserve">MarketShareFactor3Industry6</t>
  </si>
  <si>
    <t xml:space="preserve">MarketShareFactor4Industry1</t>
  </si>
  <si>
    <t xml:space="preserve">MarketShareFactor4Industry2</t>
  </si>
  <si>
    <t xml:space="preserve">MarketShareFactor4Industry3</t>
  </si>
  <si>
    <t xml:space="preserve">MarketShareFactor4Industry4</t>
  </si>
  <si>
    <t xml:space="preserve">MarketShareFactor4Industry5</t>
  </si>
  <si>
    <t xml:space="preserve">MarketShareFactor4Industry6</t>
  </si>
  <si>
    <t xml:space="preserve">MarketShareFactor5Industry1</t>
  </si>
  <si>
    <t xml:space="preserve">MarketShareFactor5Industry2</t>
  </si>
  <si>
    <t xml:space="preserve">MarketShareFactor5Industry3</t>
  </si>
  <si>
    <t xml:space="preserve">MarketShareFactor5Industry4</t>
  </si>
  <si>
    <t xml:space="preserve">MarketShareFactor5Industry5</t>
  </si>
  <si>
    <t xml:space="preserve">MarketShareFactor5Industry6</t>
  </si>
  <si>
    <t xml:space="preserve">[Diversification]</t>
  </si>
  <si>
    <t xml:space="preserve">Diversification</t>
  </si>
  <si>
    <t xml:space="preserve">Geographical  </t>
  </si>
  <si>
    <t xml:space="preserve">Portfolio diversification - (Commodity-focused)</t>
  </si>
  <si>
    <t xml:space="preserve">Geographical diversification</t>
  </si>
  <si>
    <t xml:space="preserve">Geographical</t>
  </si>
  <si>
    <t xml:space="preserve">Geographical outreach </t>
  </si>
  <si>
    <t xml:space="preserve">Distribution channels</t>
  </si>
  <si>
    <t xml:space="preserve">Strong presence in all key markets </t>
  </si>
  <si>
    <t xml:space="preserve">Reflects global market </t>
  </si>
  <si>
    <t xml:space="preserve">Global presence; leading player worldwide </t>
  </si>
  <si>
    <t xml:space="preserve">Global player with a (strong) presence in key markets </t>
  </si>
  <si>
    <t xml:space="preserve">Strong international presence; major player in many countries </t>
  </si>
  <si>
    <t xml:space="preserve">More than five regions; international presence </t>
  </si>
  <si>
    <t xml:space="preserve">Very strong geographical diversification across pan-European energy markets with little price correlation</t>
  </si>
  <si>
    <t xml:space="preserve">Global presence</t>
  </si>
  <si>
    <t xml:space="preserve">Reflects the global market</t>
  </si>
  <si>
    <t xml:space="preserve">Hybrid model with high percentage of sales generated via each channel </t>
  </si>
  <si>
    <t xml:space="preserve">Strong presence in at least three key markets</t>
  </si>
  <si>
    <t xml:space="preserve">Strong international presence; major player in different continents</t>
  </si>
  <si>
    <t xml:space="preserve">Strong geographical diversification across pan-European energy markets with little price correlation</t>
  </si>
  <si>
    <t xml:space="preserve">No single country accounting for more than one-third of earnings</t>
  </si>
  <si>
    <t xml:space="preserve">Significant presence in different regions</t>
  </si>
  <si>
    <t xml:space="preserve">Under-represented in the US or in Europe</t>
  </si>
  <si>
    <t xml:space="preserve">Solid presence in at least two key markets </t>
  </si>
  <si>
    <t xml:space="preserve">Global but unbalanced presence </t>
  </si>
  <si>
    <t xml:space="preserve">Adequate international presence; operating in many countries, regions and locations</t>
  </si>
  <si>
    <t xml:space="preserve">International presence; operating in many countries</t>
  </si>
  <si>
    <t xml:space="preserve">More than three regions; (inter)national presence </t>
  </si>
  <si>
    <t xml:space="preserve">Geographical diversification across different regional energy markets with little price correlation</t>
  </si>
  <si>
    <t xml:space="preserve">No single country accounting for more than half of earnings</t>
  </si>
  <si>
    <t xml:space="preserve">Significant presence in multiple countries</t>
  </si>
  <si>
    <t xml:space="preserve">No truly global exposure</t>
  </si>
  <si>
    <t xml:space="preserve">High sales via other distribution channels in addition to primary distribution channel </t>
  </si>
  <si>
    <t xml:space="preserve">Presence in at least one key market </t>
  </si>
  <si>
    <t xml:space="preserve">Overreliance on one region</t>
  </si>
  <si>
    <t xml:space="preserve">Moderate diversification by country, region and location</t>
  </si>
  <si>
    <t xml:space="preserve">Niche player with a (strong) presence in selected markets </t>
  </si>
  <si>
    <t xml:space="preserve">Limited diversification by countries </t>
  </si>
  <si>
    <t xml:space="preserve">More than one region; national presence </t>
  </si>
  <si>
    <t xml:space="preserve">Geographical diversification across different regional energy markets with significant price correlation</t>
  </si>
  <si>
    <t xml:space="preserve">Operations in more than one country, but high dependency on a single jurisdiction</t>
  </si>
  <si>
    <t xml:space="preserve">Operations concentrated in few countries</t>
  </si>
  <si>
    <t xml:space="preserve">Regional player; majority of sales in countries with weak patent protection</t>
  </si>
  <si>
    <t xml:space="preserve">Low sales via other distribution channels in addition to primary distribution channel </t>
  </si>
  <si>
    <t xml:space="preserve">Presence in one key market </t>
  </si>
  <si>
    <t xml:space="preserve">Operates in one region</t>
  </si>
  <si>
    <t xml:space="preserve">Low diversification by country, region and location </t>
  </si>
  <si>
    <t xml:space="preserve">Only national presence with low growth opportunities </t>
  </si>
  <si>
    <t xml:space="preserve">One region; national presence </t>
  </si>
  <si>
    <t xml:space="preserve">No geographical diversification across different energy markets with little price correlation</t>
  </si>
  <si>
    <t xml:space="preserve">Single country operator</t>
  </si>
  <si>
    <t xml:space="preserve">Operations concentrated in a single country</t>
  </si>
  <si>
    <t xml:space="preserve">Single channel distributor </t>
  </si>
  <si>
    <t xml:space="preserve">High dependence on local/domestic market </t>
  </si>
  <si>
    <t xml:space="preserve">Operates in one country </t>
  </si>
  <si>
    <t xml:space="preserve">Single country; weak diversification by region or location </t>
  </si>
  <si>
    <t xml:space="preserve">Niche player with limited presence in selected markets </t>
  </si>
  <si>
    <t xml:space="preserve">Purely local player in a shrinking market</t>
  </si>
  <si>
    <t xml:space="preserve">Product Breadth</t>
  </si>
  <si>
    <t xml:space="preserve">Contribution of specialty chemicals to revenue - (Commodity-focused)</t>
  </si>
  <si>
    <t xml:space="preserve">Segment diversification</t>
  </si>
  <si>
    <t xml:space="preserve">Supplier and customer</t>
  </si>
  <si>
    <t xml:space="preserve">Product</t>
  </si>
  <si>
    <t xml:space="preserve">Customer granularity and supplier diversification</t>
  </si>
  <si>
    <t xml:space="preserve">Top 3 tenants (%)</t>
  </si>
  <si>
    <t xml:space="preserve">Horizontal diversification</t>
  </si>
  <si>
    <t xml:space="preserve">Product offering and end-markets</t>
  </si>
  <si>
    <t xml:space="preserve">Exposure to high-risk countries</t>
  </si>
  <si>
    <t xml:space="preserve">Product mix – treatment area exposure</t>
  </si>
  <si>
    <t xml:space="preserve">Top three products (% of pharma sales)</t>
  </si>
  <si>
    <t xml:space="preserve">Portfolio covering a majority of passenger car categories</t>
  </si>
  <si>
    <t xml:space="preserve">No segment with &gt; 30% of revenue/EBITDA</t>
  </si>
  <si>
    <t xml:space="preserve">Broadly diversified regarding number of customers and suppliers</t>
  </si>
  <si>
    <t xml:space="preserve">Large variety of product groups combined with wide range of products </t>
  </si>
  <si>
    <t xml:space="preserve">Highly diversified regarding customers and suppliers  (no significant dependence on large customers or suppliers) </t>
  </si>
  <si>
    <t xml:space="preserve">&lt; 2.5</t>
  </si>
  <si>
    <t xml:space="preserve">Very strong business segmentation across a well-balanced mix of cyclical and non_x0002_cyclical activities with little or no exposure to chronically loss_x0002_making or very volatile utility segments</t>
  </si>
  <si>
    <t xml:space="preserve">Very low</t>
  </si>
  <si>
    <t xml:space="preserve">&gt; 8</t>
  </si>
  <si>
    <t xml:space="preserve">&lt; 20%</t>
  </si>
  <si>
    <t xml:space="preserve">No country with &gt; 30% of revenue </t>
  </si>
  <si>
    <t xml:space="preserve">No segment with &gt; 40% of revenue/EBITDA </t>
  </si>
  <si>
    <t xml:space="preserve">Variety of product groups combined with wide range of products </t>
  </si>
  <si>
    <t xml:space="preserve">Strong business segmentation across a well-balanced mix of cyclical and non cyclical activities with little or no exposure to chronically loss_x0002_making or very volatile utility segments</t>
  </si>
  <si>
    <t xml:space="preserve">Highly diversified product slate. No single metal or mineral accounts for more than one-third of earnings. High end-market diversity</t>
  </si>
  <si>
    <t xml:space="preserve">Low</t>
  </si>
  <si>
    <t xml:space="preserve">20 to 30%</t>
  </si>
  <si>
    <t xml:space="preserve">No country with &gt; 50% of revenue </t>
  </si>
  <si>
    <t xml:space="preserve">Portfolio combining both passenger cars &amp; commercial vehicles, but mainly exposed to passenger cars </t>
  </si>
  <si>
    <t xml:space="preserve">No segment with &gt; 70% of revenue/EBITDA; 3-4 segments </t>
  </si>
  <si>
    <t xml:space="preserve">Adequately diversified regarding number of customers and suppliers</t>
  </si>
  <si>
    <t xml:space="preserve">Variety of product groups combined with narrow range of products </t>
  </si>
  <si>
    <t xml:space="preserve">Good diversification regarding customers and suppliers4 </t>
  </si>
  <si>
    <t xml:space="preserve">&lt; 5.0</t>
  </si>
  <si>
    <t xml:space="preserve">Moderate business segmentation across different utilities segments with little exposure to chronically loss_x0002_making or very volatile utility segments</t>
  </si>
  <si>
    <t xml:space="preserve">Producer of several metals or minerals with different end-markets. No single metal accounts for more than half of earnings</t>
  </si>
  <si>
    <t xml:space="preserve">30 to 50%</t>
  </si>
  <si>
    <t xml:space="preserve">No country with &gt; 70% of revenue </t>
  </si>
  <si>
    <t xml:space="preserve">Portfolio combining both passenger cars &amp; commercial vehicles, but mainly exposed to commercial vehicles </t>
  </si>
  <si>
    <t xml:space="preserve">No segment with &gt; 70% of revenue/EBITDA; two segments </t>
  </si>
  <si>
    <t xml:space="preserve">Some dependence on certain customers and/or suppliers </t>
  </si>
  <si>
    <t xml:space="preserve">Single product group combined with wide range of products </t>
  </si>
  <si>
    <t xml:space="preserve">Some dependence on certain customers and/or suppliers</t>
  </si>
  <si>
    <t xml:space="preserve">&lt; 10.0</t>
  </si>
  <si>
    <t xml:space="preserve">Modest business segmentation across different utilities segments with significant exposure to chronically loss_x0002_making or very volatile utility segments</t>
  </si>
  <si>
    <t xml:space="preserve">Producer of at least two metals or minerals with different end-markets</t>
  </si>
  <si>
    <t xml:space="preserve">2 to 4</t>
  </si>
  <si>
    <t xml:space="preserve">50 to 60%</t>
  </si>
  <si>
    <t xml:space="preserve">Operates in one country and its immediate neighbours </t>
  </si>
  <si>
    <t xml:space="preserve">Exposure to one segment and a few vehicle categories </t>
  </si>
  <si>
    <t xml:space="preserve">&gt; 70% of revenues/EBITDA from one segment</t>
  </si>
  <si>
    <t xml:space="preserve">Heavy dependence on single customer and/or supplier</t>
  </si>
  <si>
    <t xml:space="preserve">Single product group combined with narrow range of products </t>
  </si>
  <si>
    <t xml:space="preserve">Heavy dependence on single customer and/or supplier </t>
  </si>
  <si>
    <t xml:space="preserve">&lt; 20.0</t>
  </si>
  <si>
    <t xml:space="preserve">High exposure to chronically loss_x0002_making business segments</t>
  </si>
  <si>
    <t xml:space="preserve">Single metal/mineral producer or refiner </t>
  </si>
  <si>
    <t xml:space="preserve">High</t>
  </si>
  <si>
    <t xml:space="preserve">0 to 2</t>
  </si>
  <si>
    <t xml:space="preserve">&gt; 60%</t>
  </si>
  <si>
    <t xml:space="preserve">Active in one country </t>
  </si>
  <si>
    <t xml:space="preserve">&gt; 90% of revenues/EBITDA from one segment </t>
  </si>
  <si>
    <t xml:space="preserve">Loss of or high probability of losing main customer/ supplier </t>
  </si>
  <si>
    <t xml:space="preserve">&gt; 20.0</t>
  </si>
  <si>
    <t xml:space="preserve">Dominant exposure to a single high-risk country</t>
  </si>
  <si>
    <t xml:space="preserve">Product Depth</t>
  </si>
  <si>
    <t xml:space="preserve">End-market diversification - (Specialty)</t>
  </si>
  <si>
    <t xml:space="preserve">Customer diversification Top 10 (%) </t>
  </si>
  <si>
    <t xml:space="preserve">Product offering and mix</t>
  </si>
  <si>
    <t xml:space="preserve">Customer (top three in % of sales revenue)</t>
  </si>
  <si>
    <t xml:space="preserve">Service offering and crossselling potential </t>
  </si>
  <si>
    <t xml:space="preserve">Top 10 tenants (%)</t>
  </si>
  <si>
    <t xml:space="preserve">Vertical integration</t>
  </si>
  <si>
    <t xml:space="preserve">Assets</t>
  </si>
  <si>
    <t xml:space="preserve">Business mix</t>
  </si>
  <si>
    <t xml:space="preserve">Specialty drug exposure (incl biosimilars, % of 
sales)</t>
  </si>
  <si>
    <t xml:space="preserve">Top product (% of pharma sales)</t>
  </si>
  <si>
    <t xml:space="preserve">Product diversification</t>
  </si>
  <si>
    <t xml:space="preserve">Very comprehensive product offering </t>
  </si>
  <si>
    <t xml:space="preserve">Very strong diversification, improved/ stable end-market diversification</t>
  </si>
  <si>
    <t xml:space="preserve">Presence in numerous product categories (above 10);  high share of non-cyclical products</t>
  </si>
  <si>
    <t xml:space="preserve">Highly diversified service offering, large share of non-discretionary services and high cross-selling potential </t>
  </si>
  <si>
    <t xml:space="preserve">Reasonable vertical integration with sizeable customer base</t>
  </si>
  <si>
    <t xml:space="preserve">Very strong/balanced mix</t>
  </si>
  <si>
    <t xml:space="preserve">Large range of products sold across more than two consumer goods categories</t>
  </si>
  <si>
    <t xml:space="preserve">Products targeting a combination of premium, mid-price and entry level groups </t>
  </si>
  <si>
    <t xml:space="preserve">Strong diversification, improved/ stable end-market diversification</t>
  </si>
  <si>
    <t xml:space="preserve">No single mine or processing plant accounts for more than one-third of earnings</t>
  </si>
  <si>
    <t xml:space="preserve">Strong/largely balanced mix</t>
  </si>
  <si>
    <t xml:space="preserve">10 to 15%</t>
  </si>
  <si>
    <t xml:space="preserve">Good diversification, improved/ stable end-market diversification</t>
  </si>
  <si>
    <t xml:space="preserve">10 to 20</t>
  </si>
  <si>
    <t xml:space="preserve">Balanced presence in several product categories; predominance of non-cyclical products </t>
  </si>
  <si>
    <t xml:space="preserve">10 to 30</t>
  </si>
  <si>
    <t xml:space="preserve">Diversified service offering of nondiscretionary and discretionary services and high cross-selling potential </t>
  </si>
  <si>
    <t xml:space="preserve">No single mine or processing plant accounts for more than half of earnings</t>
  </si>
  <si>
    <t xml:space="preserve">Good/significant bias to the main segment </t>
  </si>
  <si>
    <t xml:space="preserve">5 to 10%</t>
  </si>
  <si>
    <t xml:space="preserve">15 to 30%</t>
  </si>
  <si>
    <t xml:space="preserve">Products sold across two consumer goods categories </t>
  </si>
  <si>
    <t xml:space="preserve">Products targeting mostly premium, mid-price and entry level groups </t>
  </si>
  <si>
    <t xml:space="preserve">Moderate diversification, stable/ worse end-market diversification</t>
  </si>
  <si>
    <t xml:space="preserve">20 to 50</t>
  </si>
  <si>
    <t xml:space="preserve">Presence in few product categories; predominance  of cyclical products</t>
  </si>
  <si>
    <t xml:space="preserve">30 to 50</t>
  </si>
  <si>
    <t xml:space="preserve">Less diversified service offering with predominately discretionary services and moderate crossselling potential </t>
  </si>
  <si>
    <t xml:space="preserve">&lt; 50.0</t>
  </si>
  <si>
    <t xml:space="preserve">No vertical integration with concentration on higher-risk non-regulated activities</t>
  </si>
  <si>
    <t xml:space="preserve">Multiple mines or processing plants, but with high dependency on a few assets</t>
  </si>
  <si>
    <t xml:space="preserve">Moderate/strong bias to the main segment </t>
  </si>
  <si>
    <t xml:space="preserve">0 to 5%</t>
  </si>
  <si>
    <t xml:space="preserve">30 to 40%</t>
  </si>
  <si>
    <t xml:space="preserve">Modest diversification, worse end-market diversification</t>
  </si>
  <si>
    <t xml:space="preserve">50 to 90</t>
  </si>
  <si>
    <t xml:space="preserve">Concentration in one product category</t>
  </si>
  <si>
    <t xml:space="preserve">50 to 75</t>
  </si>
  <si>
    <t xml:space="preserve">Highly concentrated service offering, primarily based on a single discretionary service and limited cross-selling potential</t>
  </si>
  <si>
    <t xml:space="preserve">&lt; 100.0</t>
  </si>
  <si>
    <t xml:space="preserve">Single mine or processing plant operator</t>
  </si>
  <si>
    <t xml:space="preserve">Weak/single or very dominant segment</t>
  </si>
  <si>
    <t xml:space="preserve">&gt; 40%</t>
  </si>
  <si>
    <t xml:space="preserve">Products sold belong to one consumer goods category deemed non-cyclical</t>
  </si>
  <si>
    <t xml:space="preserve">Very narrow product offering</t>
  </si>
  <si>
    <t xml:space="preserve">Very modest diversification, worse end-market diversification</t>
  </si>
  <si>
    <t xml:space="preserve">&gt; 90</t>
  </si>
  <si>
    <t xml:space="preserve">Single cyclical product category</t>
  </si>
  <si>
    <t xml:space="preserve">&gt; 75</t>
  </si>
  <si>
    <t xml:space="preserve">&lt; 10 tenants</t>
  </si>
  <si>
    <t xml:space="preserve">Products sold belong to one consumer goods category deemed cyclical </t>
  </si>
  <si>
    <t xml:space="preserve">Highly cyclical end-markets - (Specialty)</t>
  </si>
  <si>
    <t xml:space="preserve">Distribution network</t>
  </si>
  <si>
    <t xml:space="preserve">Quality of tenants</t>
  </si>
  <si>
    <t xml:space="preserve">Supplier and customer concentration</t>
  </si>
  <si>
    <t xml:space="preserve">Asset concentration/ dependence on a single asset</t>
  </si>
  <si>
    <t xml:space="preserve">Number of pipeline assets</t>
  </si>
  <si>
    <t xml:space="preserve">Number of treatment  areas</t>
  </si>
  <si>
    <t xml:space="preserve">Broadly diversified regarding number of well-established distribution channels</t>
  </si>
  <si>
    <t xml:space="preserve">Multiple well-established and robust distribution channels </t>
  </si>
  <si>
    <t xml:space="preserve">Very strongly diversified supplier and customer base</t>
  </si>
  <si>
    <t xml:space="preserve">&gt; 500</t>
  </si>
  <si>
    <t xml:space="preserve">&gt; 5</t>
  </si>
  <si>
    <t xml:space="preserve">Strongly diversified supplier and customer base</t>
  </si>
  <si>
    <t xml:space="preserve">350 to 500</t>
  </si>
  <si>
    <t xml:space="preserve">4 to 5</t>
  </si>
  <si>
    <t xml:space="preserve">20 to 40%</t>
  </si>
  <si>
    <t xml:space="preserve">Adequately diversified regarding number of well-established distribution channels</t>
  </si>
  <si>
    <t xml:space="preserve">Multiple distribution channels including thirdparty sales</t>
  </si>
  <si>
    <t xml:space="preserve">Modest dependence on single suppliers or customers</t>
  </si>
  <si>
    <t xml:space="preserve">200 to 350</t>
  </si>
  <si>
    <t xml:space="preserve">3 to 4</t>
  </si>
  <si>
    <t xml:space="preserve">40 to 70%</t>
  </si>
  <si>
    <t xml:space="preserve">Concentration on few distribution channels</t>
  </si>
  <si>
    <t xml:space="preserve">Concentrated distribution channels with low third-party sales</t>
  </si>
  <si>
    <t xml:space="preserve">Moderate dependence on single suppliers or customers</t>
  </si>
  <si>
    <t xml:space="preserve">2 to 3</t>
  </si>
  <si>
    <t xml:space="preserve">&gt; 70%</t>
  </si>
  <si>
    <t xml:space="preserve">Heavy dependency on a single distribution channel</t>
  </si>
  <si>
    <t xml:space="preserve">Single distribution channel6 </t>
  </si>
  <si>
    <t xml:space="preserve">High dependence on single suppliers or customers</t>
  </si>
  <si>
    <t xml:space="preserve">&lt; 2</t>
  </si>
  <si>
    <t xml:space="preserve">Dominant exposure to a single asset</t>
  </si>
  <si>
    <t xml:space="preserve">Tenants by industry (% of revenues)</t>
  </si>
  <si>
    <t xml:space="preserve">Asset/fuel concentration</t>
  </si>
  <si>
    <t xml:space="preserve">&lt; 15</t>
  </si>
  <si>
    <t xml:space="preserve">Very low dependency on specific fuel types or single assets</t>
  </si>
  <si>
    <t xml:space="preserve">Low dependency on specific fuel types or single assets</t>
  </si>
  <si>
    <t xml:space="preserve">&lt; 20</t>
  </si>
  <si>
    <t xml:space="preserve">Modest dependency on specific fuel types or single power plants</t>
  </si>
  <si>
    <t xml:space="preserve">&lt; 25</t>
  </si>
  <si>
    <t xml:space="preserve">Moderate concentration risks relating to specific fuel types and power generation assets</t>
  </si>
  <si>
    <t xml:space="preserve">High concentration risks relating to specific fuel types and power generation assets</t>
  </si>
  <si>
    <t xml:space="preserve">&gt; 50</t>
  </si>
  <si>
    <t xml:space="preserve">DiversificationFactor1Industry1</t>
  </si>
  <si>
    <t xml:space="preserve">DiversificationFactor1Industry2</t>
  </si>
  <si>
    <t xml:space="preserve">DiversificationFactor1Industry3</t>
  </si>
  <si>
    <t xml:space="preserve">DiversificationFactor1Industry4</t>
  </si>
  <si>
    <t xml:space="preserve">DiversificationFactor1Industry5</t>
  </si>
  <si>
    <t xml:space="preserve">DiversificationFactor1Industry6</t>
  </si>
  <si>
    <t xml:space="preserve">DiversificationFactor2Industry1</t>
  </si>
  <si>
    <t xml:space="preserve">DiversificationFactor2Industry2</t>
  </si>
  <si>
    <t xml:space="preserve">DiversificationFactor2Industry3</t>
  </si>
  <si>
    <t xml:space="preserve">DiversificationFactor2Industry4</t>
  </si>
  <si>
    <t xml:space="preserve">DiversificationFactor2Industry5</t>
  </si>
  <si>
    <t xml:space="preserve">DiversificationFactor2Industry6</t>
  </si>
  <si>
    <t xml:space="preserve">DiversificationFactor3Industry1</t>
  </si>
  <si>
    <t xml:space="preserve">DiversificationFactor3Industry2</t>
  </si>
  <si>
    <t xml:space="preserve">DiversificationFactor3Industry3</t>
  </si>
  <si>
    <t xml:space="preserve">DiversificationFactor3Industry4</t>
  </si>
  <si>
    <t xml:space="preserve">DiversificationFactor3Industry5</t>
  </si>
  <si>
    <t xml:space="preserve">DiversificationFactor3Industry6</t>
  </si>
  <si>
    <t xml:space="preserve">DiversificationFactor4Industry1</t>
  </si>
  <si>
    <t xml:space="preserve">DiversificationFactor4Industry2</t>
  </si>
  <si>
    <t xml:space="preserve">DiversificationFactor4Industry3</t>
  </si>
  <si>
    <t xml:space="preserve">DiversificationFactor4Industry4</t>
  </si>
  <si>
    <t xml:space="preserve">DiversificationFactor4Industry5</t>
  </si>
  <si>
    <t xml:space="preserve">DiversificationFactor4Industry6</t>
  </si>
  <si>
    <t xml:space="preserve">DiversificationFactor5Industry1</t>
  </si>
  <si>
    <t xml:space="preserve">DiversificationFactor5Industry2</t>
  </si>
  <si>
    <t xml:space="preserve">DiversificationFactor5Industry3</t>
  </si>
  <si>
    <t xml:space="preserve">DiversificationFactor5Industry4</t>
  </si>
  <si>
    <t xml:space="preserve">DiversificationFactor5Industry5</t>
  </si>
  <si>
    <t xml:space="preserve">DiversificationFactor5Industry6</t>
  </si>
  <si>
    <t xml:space="preserve">[Operating profitability]</t>
  </si>
  <si>
    <t xml:space="preserve">Scope-adjusted EBITDA margin (%)</t>
  </si>
  <si>
    <t xml:space="preserve">Scope-adjusted EBITDA margin</t>
  </si>
  <si>
    <t xml:space="preserve">EBITDA margin</t>
  </si>
  <si>
    <t xml:space="preserve">Volatility</t>
  </si>
  <si>
    <t xml:space="preserve">Scope-adjusted EBITDA margin Upstream/ midstream exposure</t>
  </si>
  <si>
    <t xml:space="preserve">EBITDA margin upstream (excluding trading) </t>
  </si>
  <si>
    <t xml:space="preserve">EBITDA margin (%)</t>
  </si>
  <si>
    <t xml:space="preserve">&gt; 16</t>
  </si>
  <si>
    <t xml:space="preserve">&gt; 30%</t>
  </si>
  <si>
    <t xml:space="preserve">&gt; 40</t>
  </si>
  <si>
    <t xml:space="preserve">&gt;30%</t>
  </si>
  <si>
    <t xml:space="preserve">&gt; 22</t>
  </si>
  <si>
    <t xml:space="preserve">&gt; 25%</t>
  </si>
  <si>
    <t xml:space="preserve">&gt; 35%</t>
  </si>
  <si>
    <t xml:space="preserve">12 to 16</t>
  </si>
  <si>
    <t xml:space="preserve">20 to 40</t>
  </si>
  <si>
    <t xml:space="preserve">20%-30%</t>
  </si>
  <si>
    <t xml:space="preserve">16 to 22</t>
  </si>
  <si>
    <t xml:space="preserve">22.5 to 30.0</t>
  </si>
  <si>
    <t xml:space="preserve">40 to 60%</t>
  </si>
  <si>
    <t xml:space="preserve">Mining &gt; 35%; Smelting and refining &gt;15%; Processing &gt; 10%; Distribution &gt;4%</t>
  </si>
  <si>
    <t xml:space="preserve">45 to 60%</t>
  </si>
  <si>
    <t xml:space="preserve">20 to 25%</t>
  </si>
  <si>
    <t xml:space="preserve">30 to 35%</t>
  </si>
  <si>
    <t xml:space="preserve">8 to 12</t>
  </si>
  <si>
    <t xml:space="preserve">15 to 20%</t>
  </si>
  <si>
    <t xml:space="preserve">14 to 20</t>
  </si>
  <si>
    <t xml:space="preserve">15%-20%</t>
  </si>
  <si>
    <t xml:space="preserve">15.0 to 22.5</t>
  </si>
  <si>
    <t xml:space="preserve">Medium</t>
  </si>
  <si>
    <t xml:space="preserve">25 to 40%</t>
  </si>
  <si>
    <t xml:space="preserve">Mining 25 to 35%; Smelting and refining 10 to 15%; Processing 7 to 10%; Distribution 3 to 4%</t>
  </si>
  <si>
    <t xml:space="preserve">30 to 45%</t>
  </si>
  <si>
    <t xml:space="preserve">25 to 30%</t>
  </si>
  <si>
    <t xml:space="preserve">5 to 8</t>
  </si>
  <si>
    <t xml:space="preserve">7 to 14</t>
  </si>
  <si>
    <t xml:space="preserve">5%-15%</t>
  </si>
  <si>
    <t xml:space="preserve">9 to 12</t>
  </si>
  <si>
    <t xml:space="preserve">7.5 to 15.0</t>
  </si>
  <si>
    <t xml:space="preserve">10 to 25%</t>
  </si>
  <si>
    <t xml:space="preserve">Mining 15 to 25%; Smelting and refining 6 to 10%; Processing 4 to 7%; Distribution 2 to 3%</t>
  </si>
  <si>
    <t xml:space="preserve">2 to 5</t>
  </si>
  <si>
    <t xml:space="preserve">0 to 7</t>
  </si>
  <si>
    <t xml:space="preserve">0%-5%</t>
  </si>
  <si>
    <t xml:space="preserve">2 to 8</t>
  </si>
  <si>
    <t xml:space="preserve">0 to 7.5</t>
  </si>
  <si>
    <t xml:space="preserve">Mining &lt; 15%; Smelting and refining &lt; 6%; Processing &lt; 4%; Distribution &lt; 2%</t>
  </si>
  <si>
    <t xml:space="preserve">1 to 4</t>
  </si>
  <si>
    <t xml:space="preserve">Scope-adjusted EBITDA insufficient to cover maintenance capex and interest expense</t>
  </si>
  <si>
    <t xml:space="preserve">Recurring EBITDA insufficient to cover maintenance capex and interest payments</t>
  </si>
  <si>
    <t xml:space="preserve">EBITDA insufficient to cover interest payments and maintenance capex</t>
  </si>
  <si>
    <t xml:space="preserve">&lt; 5%</t>
  </si>
  <si>
    <t xml:space="preserve">&lt; 1</t>
  </si>
  <si>
    <t xml:space="preserve">Backlog (years)</t>
  </si>
  <si>
    <t xml:space="preserve">Scope-adjusted return on capital epmloyed (%)</t>
  </si>
  <si>
    <t xml:space="preserve">Scope-adjusted EBITDA margin Downstream exposure</t>
  </si>
  <si>
    <t xml:space="preserve">EBITDA volatility</t>
  </si>
  <si>
    <t xml:space="preserve">EBITDA margin downstream (excluding trading) </t>
  </si>
  <si>
    <t xml:space="preserve">Scope-adjusted EBITDA return on assets</t>
  </si>
  <si>
    <t xml:space="preserve">Low to medium</t>
  </si>
  <si>
    <t xml:space="preserve">&gt; 24%</t>
  </si>
  <si>
    <t xml:space="preserve">&gt; 15%</t>
  </si>
  <si>
    <t xml:space="preserve">&gt; 45</t>
  </si>
  <si>
    <t xml:space="preserve">30 to 40</t>
  </si>
  <si>
    <t xml:space="preserve">75 to 90</t>
  </si>
  <si>
    <t xml:space="preserve">18 to 24%</t>
  </si>
  <si>
    <t xml:space="preserve">Below average</t>
  </si>
  <si>
    <t xml:space="preserve">35 to 45</t>
  </si>
  <si>
    <t xml:space="preserve">20 to 30</t>
  </si>
  <si>
    <t xml:space="preserve">60 to 75</t>
  </si>
  <si>
    <t xml:space="preserve">12 to 18%</t>
  </si>
  <si>
    <t xml:space="preserve">7 to 10%</t>
  </si>
  <si>
    <t xml:space="preserve">25 to 35</t>
  </si>
  <si>
    <t xml:space="preserve">Medium to high</t>
  </si>
  <si>
    <t xml:space="preserve">45 to 60</t>
  </si>
  <si>
    <t xml:space="preserve">6 to 12%</t>
  </si>
  <si>
    <t xml:space="preserve">Above average</t>
  </si>
  <si>
    <t xml:space="preserve">4 to 7%</t>
  </si>
  <si>
    <t xml:space="preserve">15 to 25</t>
  </si>
  <si>
    <t xml:space="preserve">1 to 2</t>
  </si>
  <si>
    <t xml:space="preserve">0 to 10</t>
  </si>
  <si>
    <t xml:space="preserve">30 to 45</t>
  </si>
  <si>
    <t xml:space="preserve">&lt; 6%</t>
  </si>
  <si>
    <t xml:space="preserve">&lt; 4%</t>
  </si>
  <si>
    <t xml:space="preserve">5 to 15</t>
  </si>
  <si>
    <t xml:space="preserve">&lt; 0</t>
  </si>
  <si>
    <t xml:space="preserve">&lt; 30</t>
  </si>
  <si>
    <t xml:space="preserve">Top 5%</t>
  </si>
  <si>
    <t xml:space="preserve">Levered IRR</t>
  </si>
  <si>
    <t xml:space="preserve">Volatility of group margin</t>
  </si>
  <si>
    <t xml:space="preserve">ROCE</t>
  </si>
  <si>
    <t xml:space="preserve">Scope-adjusted return on capital employed</t>
  </si>
  <si>
    <t xml:space="preserve">Very stable profitability patterns</t>
  </si>
  <si>
    <t xml:space="preserve">36 to 50</t>
  </si>
  <si>
    <t xml:space="preserve">&gt; 9%</t>
  </si>
  <si>
    <t xml:space="preserve">23 to 36</t>
  </si>
  <si>
    <t xml:space="preserve">Stable profitability patterns</t>
  </si>
  <si>
    <t xml:space="preserve">6 to 9%</t>
  </si>
  <si>
    <t xml:space="preserve">6 to 10%</t>
  </si>
  <si>
    <t xml:space="preserve">9 to 22</t>
  </si>
  <si>
    <t xml:space="preserve">Moderately volatile and non_x0002_controllable profitability patterns</t>
  </si>
  <si>
    <t xml:space="preserve">3 to 6%</t>
  </si>
  <si>
    <t xml:space="preserve">0 to 9</t>
  </si>
  <si>
    <t xml:space="preserve">Strongly volatile and non-controllable profitability patterns</t>
  </si>
  <si>
    <t xml:space="preserve">0 to 3%</t>
  </si>
  <si>
    <t xml:space="preserve">&lt;0%</t>
  </si>
  <si>
    <t xml:space="preserve">&lt; 0%</t>
  </si>
  <si>
    <t xml:space="preserve">Operating efficiency</t>
  </si>
  <si>
    <t xml:space="preserve">Neutral: modern plant and equipment, power stations, transportation infrastructure, etc; high standards in terms of efficiency, environmental footprint and health and safety; tried and tested mining 
and processing methods</t>
  </si>
  <si>
    <t xml:space="preserve">Negative: aged plant and equipment, power stations, transportation infrastructure, etc., which require significant investment to maintain adequate standards in terms of efficiency, environmental footprint and health and safety</t>
  </si>
  <si>
    <t xml:space="preserve">Very negative: plant and equipment at the end of their economic life</t>
  </si>
  <si>
    <t xml:space="preserve">Efficiency</t>
  </si>
  <si>
    <t xml:space="preserve">Highly cost-competitive power generation portfolio which provide stable load factors / 
Above-average economic age of power plant portfolio or transmission/distribution assets / 
Above-average efficiency (e.g. load factors, grid losses, efficiency benchmarks) / 
Tariff system which allows timely pass-through of increased cost base</t>
  </si>
  <si>
    <t xml:space="preserve">Power generation assets which are less cost efficient and which may display strongly fluctuating load factors / 
Below-average economic age of power plant portfolio or transmission/distribution assets / 
Below-average efficiency (e.g. load factors, grid losses, efficiency benchmarks) / 
Significant time lags in the utility’s cost recovery from increased cost base</t>
  </si>
  <si>
    <t xml:space="preserve">OperatingProfitabilityFactor1Industry1</t>
  </si>
  <si>
    <t xml:space="preserve">OperatingProfitabilityFactor1Industry2</t>
  </si>
  <si>
    <t xml:space="preserve">OperatingProfitabilityFactor1Industry3</t>
  </si>
  <si>
    <t xml:space="preserve">OperatingProfitabilityFactor1Industry4</t>
  </si>
  <si>
    <t xml:space="preserve">OperatingProfitabilityFactor1Industry5</t>
  </si>
  <si>
    <t xml:space="preserve">OperatingProfitabilityFactor1Industry6</t>
  </si>
  <si>
    <t xml:space="preserve">OperatingProfitabilityFactor2Industry1</t>
  </si>
  <si>
    <t xml:space="preserve">OperatingProfitabilityFactor2Industry2</t>
  </si>
  <si>
    <t xml:space="preserve">OperatingProfitabilityFactor2Industry3</t>
  </si>
  <si>
    <t xml:space="preserve">OperatingProfitabilityFactor2Industry4</t>
  </si>
  <si>
    <t xml:space="preserve">OperatingProfitabilityFactor2Industry5</t>
  </si>
  <si>
    <t xml:space="preserve">OperatingProfitabilityFactor2Industry6</t>
  </si>
  <si>
    <t xml:space="preserve">OperatingProfitabilityFactor3Industry1</t>
  </si>
  <si>
    <t xml:space="preserve">OperatingProfitabilityFactor3Industry2</t>
  </si>
  <si>
    <t xml:space="preserve">OperatingProfitabilityFactor3Industry3</t>
  </si>
  <si>
    <t xml:space="preserve">OperatingProfitabilityFactor3Industry4</t>
  </si>
  <si>
    <t xml:space="preserve">OperatingProfitabilityFactor3Industry5</t>
  </si>
  <si>
    <t xml:space="preserve">OperatingProfitabilityFactor3Industry6</t>
  </si>
  <si>
    <t xml:space="preserve">OperatingProfitabilityFactor4Industry1</t>
  </si>
  <si>
    <t xml:space="preserve">OperatingProfitabilityFactor4Industry2</t>
  </si>
  <si>
    <t xml:space="preserve">OperatingProfitabilityFactor4Industry3</t>
  </si>
  <si>
    <t xml:space="preserve">OperatingProfitabilityFactor4Industry4</t>
  </si>
  <si>
    <t xml:space="preserve">OperatingProfitabilityFactor4Industry5</t>
  </si>
  <si>
    <t xml:space="preserve">OperatingProfitabilityFactor4Industry6</t>
  </si>
  <si>
    <t xml:space="preserve">OperatingProfitabilityFactor5Industry1</t>
  </si>
  <si>
    <t xml:space="preserve">OperatingProfitabilityFactor5Industry2</t>
  </si>
  <si>
    <t xml:space="preserve">OperatingProfitabilityFactor5Industry3</t>
  </si>
  <si>
    <t xml:space="preserve">OperatingProfitabilityFactor5Industry4</t>
  </si>
  <si>
    <t xml:space="preserve">OperatingProfitabilityFactor5Industry5</t>
  </si>
  <si>
    <t xml:space="preserve">OperatingProfitabilityFactor5Industry6</t>
  </si>
  <si>
    <t xml:space="preserve">[Sector-specific factor 1]</t>
  </si>
  <si>
    <t xml:space="preserve">Brand strenght</t>
  </si>
  <si>
    <t xml:space="preserve">Innovativeness</t>
  </si>
  <si>
    <t xml:space="preserve">Service strength</t>
  </si>
  <si>
    <t xml:space="preserve">Asset quality</t>
  </si>
  <si>
    <t xml:space="preserve">Portfolio sustainability</t>
  </si>
  <si>
    <t xml:space="preserve">Cost and reserve position</t>
  </si>
  <si>
    <t xml:space="preserve">R&amp;D / Pipeline assessment</t>
  </si>
  <si>
    <t xml:space="preserve">Brand Value and Recognition</t>
  </si>
  <si>
    <t xml:space="preserve">Innovative power</t>
  </si>
  <si>
    <t xml:space="preserve">Brand strength and service quality </t>
  </si>
  <si>
    <t xml:space="preserve">Property location</t>
  </si>
  <si>
    <t xml:space="preserve">Number of Income-generating core holdings</t>
  </si>
  <si>
    <t xml:space="preserve">Position in cost curve</t>
  </si>
  <si>
    <t xml:space="preserve">R&amp;D to sales</t>
  </si>
  <si>
    <t xml:space="preserve">Portfolio of several globally well-known brands with a long tradition </t>
  </si>
  <si>
    <t xml:space="preserve">Very strong track record</t>
  </si>
  <si>
    <t xml:space="preserve">Globally/internationally well-known brand with high-quality attributes and sustainability of services </t>
  </si>
  <si>
    <t xml:space="preserve">Mainly 'A' locations </t>
  </si>
  <si>
    <t xml:space="preserve">&gt; 7</t>
  </si>
  <si>
    <t xml:space="preserve">Global brand and/or portfolio of international and long-established brands</t>
  </si>
  <si>
    <t xml:space="preserve">Strong track record</t>
  </si>
  <si>
    <t xml:space="preserve">First quartile</t>
  </si>
  <si>
    <t xml:space="preserve">International well-established brands </t>
  </si>
  <si>
    <t xml:space="preserve">Good track record</t>
  </si>
  <si>
    <t xml:space="preserve">Internationally/ regionally wellknown brand with good quality attributes and sustainability of services </t>
  </si>
  <si>
    <t xml:space="preserve">'A' locations and 'B' locations </t>
  </si>
  <si>
    <t xml:space="preserve">Second quartile</t>
  </si>
  <si>
    <t xml:space="preserve">Domestically well-known brands or still developing international brands  </t>
  </si>
  <si>
    <t xml:space="preserve">Moderate track record</t>
  </si>
  <si>
    <t xml:space="preserve">Domestic/ regionally known brand with moderate quality attributes and sustainability of services </t>
  </si>
  <si>
    <t xml:space="preserve">Mainly 'B' locations </t>
  </si>
  <si>
    <t xml:space="preserve">Upper third quartile</t>
  </si>
  <si>
    <t xml:space="preserve">Domestically known/regionally well-known brands </t>
  </si>
  <si>
    <t xml:space="preserve">Waek track record</t>
  </si>
  <si>
    <t xml:space="preserve">Low brand strength with basic service quality attributes and low sustainability of services </t>
  </si>
  <si>
    <t xml:space="preserve">'B' and 'C' locations </t>
  </si>
  <si>
    <t xml:space="preserve">Lower third or upper fourth quartile</t>
  </si>
  <si>
    <t xml:space="preserve">Domestically less-known brands (incl. third party producers)</t>
  </si>
  <si>
    <t xml:space="preserve">Very weak track record</t>
  </si>
  <si>
    <t xml:space="preserve">Negative brand perception or reputational issues</t>
  </si>
  <si>
    <t xml:space="preserve">Mainly 'C' locations </t>
  </si>
  <si>
    <t xml:space="preserve">Lower fourth quartile</t>
  </si>
  <si>
    <t xml:space="preserve">Brand Positioning</t>
  </si>
  <si>
    <t xml:space="preserve">Revenue stability and predictability </t>
  </si>
  <si>
    <t xml:space="preserve">Economic age (years) </t>
  </si>
  <si>
    <t xml:space="preserve">Income generating portfolio (% of GAV)</t>
  </si>
  <si>
    <t xml:space="preserve">Reserve life</t>
  </si>
  <si>
    <t xml:space="preserve">Number of NMEs phase 3</t>
  </si>
  <si>
    <t xml:space="preserve">Luxury brands;  scarce or hardly replaceable products</t>
  </si>
  <si>
    <t xml:space="preserve">Low customer churn rate with high share of recurring revenues and multiyear contract length with high switching costs</t>
  </si>
  <si>
    <t xml:space="preserve">&gt; 90%</t>
  </si>
  <si>
    <t xml:space="preserve">&gt; 14</t>
  </si>
  <si>
    <t xml:space="preserve">Premium segment, reflecting generally very high-quality attributes </t>
  </si>
  <si>
    <t xml:space="preserve">&lt; 6</t>
  </si>
  <si>
    <t xml:space="preserve">&gt; 20 years</t>
  </si>
  <si>
    <t xml:space="preserve">10 to 14</t>
  </si>
  <si>
    <t xml:space="preserve">Mid-to-upper end price levels, usually reflecting good quality attributes </t>
  </si>
  <si>
    <t xml:space="preserve">Medium churn rate with high recurring revenues and monthly subscription fee with contract length of at least one year and moderate switching costs </t>
  </si>
  <si>
    <t xml:space="preserve">60 to 90%</t>
  </si>
  <si>
    <t xml:space="preserve">10 to 20 years</t>
  </si>
  <si>
    <t xml:space="preserve">6 to 9</t>
  </si>
  <si>
    <t xml:space="preserve">Mid-to-low end price levels, reflecting average quality attributes</t>
  </si>
  <si>
    <t xml:space="preserve">High churn rate with moderate recurring revenues and monthly subscription fee and usually cancellable contract with low switching cost</t>
  </si>
  <si>
    <t xml:space="preserve">10 to 15</t>
  </si>
  <si>
    <t xml:space="preserve">30 to 60%</t>
  </si>
  <si>
    <t xml:space="preserve">5 to 10 years</t>
  </si>
  <si>
    <t xml:space="preserve">3 to 5</t>
  </si>
  <si>
    <t xml:space="preserve">Low-end price level, generally linked to low quality attributes or easily replaceable products </t>
  </si>
  <si>
    <t xml:space="preserve">High churn rate with very low or no recurring revenues and no minimum subscription fee and no switching costs </t>
  </si>
  <si>
    <t xml:space="preserve">&lt; 30%</t>
  </si>
  <si>
    <t xml:space="preserve">2 to 5 years</t>
  </si>
  <si>
    <t xml:space="preserve">&lt;3 </t>
  </si>
  <si>
    <t xml:space="preserve">&gt; 25</t>
  </si>
  <si>
    <t xml:space="preserve">&lt; 2 years and low replacement ratio</t>
  </si>
  <si>
    <t xml:space="preserve">Sustainable growth</t>
  </si>
  <si>
    <t xml:space="preserve">Service integration </t>
  </si>
  <si>
    <t xml:space="preserve">Occupancy or  pre-letting rate (%)</t>
  </si>
  <si>
    <t xml:space="preserve">Income concentration - top core holding (%)</t>
  </si>
  <si>
    <t xml:space="preserve">Reserve quality</t>
  </si>
  <si>
    <t xml:space="preserve">100% patent expiry next 3 years</t>
  </si>
  <si>
    <t xml:space="preserve">Growth above reference market; high investments into brand/product  </t>
  </si>
  <si>
    <t xml:space="preserve">Critical business processes covered, mostly exclusively, with very high integration with the customer’s business</t>
  </si>
  <si>
    <t xml:space="preserve">&gt; 95</t>
  </si>
  <si>
    <t xml:space="preserve">Mines are mostly surface or open pit. Reserves are uniform with stable ore grades and geology, well understood, and unlikely to require change in extraction U182method over time. Reserves are largely developed. Good track record in reserve replacement</t>
  </si>
  <si>
    <t xml:space="preserve">Growth slightly above reference market; above-average investments in brand/product </t>
  </si>
  <si>
    <t xml:space="preserve">High integration in the customer’s business with several services, mostly on an exclusive basis</t>
  </si>
  <si>
    <t xml:space="preserve">90 to 95</t>
  </si>
  <si>
    <t xml:space="preserve">Growth aligned or slightly below reference market; moderate investments in brand/product </t>
  </si>
  <si>
    <t xml:space="preserve">Medium integration in the customer’s business with several services, mostly not on an exclusive basis</t>
  </si>
  <si>
    <t xml:space="preserve">80 to 90</t>
  </si>
  <si>
    <t xml:space="preserve">Mines are mostly deep underground and reserves are complex, not well understood and/or may require change in mining method and/or processing plant and equipment over time. Reserves are largely undeveloped.</t>
  </si>
  <si>
    <t xml:space="preserve">Growth below reference market, limited investments in brand/product</t>
  </si>
  <si>
    <t xml:space="preserve">Low or no integration in the customer’s business; rather commoditised service </t>
  </si>
  <si>
    <t xml:space="preserve">70 to 80</t>
  </si>
  <si>
    <t xml:space="preserve">&gt; 50%</t>
  </si>
  <si>
    <t xml:space="preserve">Heavily declining revenue trend; no investment in brand and/or negative public recognition</t>
  </si>
  <si>
    <t xml:space="preserve">Decreasing service level; commoditised service </t>
  </si>
  <si>
    <t xml:space="preserve">&lt; 70</t>
  </si>
  <si>
    <t xml:space="preserve">Very high cost and complex reserves</t>
  </si>
  <si>
    <t xml:space="preserve">WAULT (years) </t>
  </si>
  <si>
    <t xml:space="preserve">Income concentration - top three core holdings (%)</t>
  </si>
  <si>
    <t xml:space="preserve">Raw material supply</t>
  </si>
  <si>
    <t xml:space="preserve">Net effect of new product potential and patent expiry in percent of pharma sales</t>
  </si>
  <si>
    <t xml:space="preserve">&gt; 10.0</t>
  </si>
  <si>
    <t xml:space="preserve">&gt; 100%</t>
  </si>
  <si>
    <t xml:space="preserve">7.0 to 10.0</t>
  </si>
  <si>
    <t xml:space="preserve">Reliable and readily available feedstocks and other raw materials, including electricity, water, and chemicals. No over_x0002_dependency on any one supplier / 
Fully integrated from mining to refining and processing. Captive power supplies</t>
  </si>
  <si>
    <t xml:space="preserve">5.8 to 7.0</t>
  </si>
  <si>
    <t xml:space="preserve">50 to 70%</t>
  </si>
  <si>
    <t xml:space="preserve">Reliable and readily available feedstocks and other raw materials, including electricity, water, and chemicals. No over_x0002_dependency on any one supplier / 
Significant backward integration</t>
  </si>
  <si>
    <t xml:space="preserve">90 to 100%</t>
  </si>
  <si>
    <t xml:space="preserve">4.6 to 5.8</t>
  </si>
  <si>
    <t xml:space="preserve">70 to 90%</t>
  </si>
  <si>
    <t xml:space="preserve">Unreliable or costly supply of feedstocks and other raw materials, including electricity, water, and chemicals. Water or electricity supply may be subject to meteorological conditions / 
Partial vertical integration, part of ore supplied from own mines or scrap sourced through own network</t>
  </si>
  <si>
    <t xml:space="preserve">&lt; 4.6</t>
  </si>
  <si>
    <t xml:space="preserve">Unreliable or costly supply of feedstocks and other raw materials, including electricity, water, and chemicals. Water or electricity supply may be subject to meteorological conditions / 
Limited or no vertical integration, with high reliance on third-party vendors for key inputs</t>
  </si>
  <si>
    <t xml:space="preserve">&lt; 70%</t>
  </si>
  <si>
    <t xml:space="preserve">Very high risk of disruption to critical feedstocks</t>
  </si>
  <si>
    <t xml:space="preserve">Pre-sale rate (%) </t>
  </si>
  <si>
    <t xml:space="preserve">&gt; 110</t>
  </si>
  <si>
    <t xml:space="preserve">100 to 110</t>
  </si>
  <si>
    <t xml:space="preserve">80 to 100</t>
  </si>
  <si>
    <t xml:space="preserve">&lt; 80</t>
  </si>
  <si>
    <t xml:space="preserve">[Sector-specific factor 2]</t>
  </si>
  <si>
    <t xml:space="preserve">Portfolio diversification</t>
  </si>
  <si>
    <t xml:space="preserve">Blockbusters</t>
  </si>
  <si>
    <t xml:space="preserve">Reflects global market</t>
  </si>
  <si>
    <t xml:space="preserve">&gt; 4</t>
  </si>
  <si>
    <t xml:space="preserve">More than one region</t>
  </si>
  <si>
    <t xml:space="preserve">One region </t>
  </si>
  <si>
    <t xml:space="preserve">One country</t>
  </si>
  <si>
    <t xml:space="preserve">Sector concentration (% of GAV)</t>
  </si>
  <si>
    <t xml:space="preserve">20 to 50%</t>
  </si>
  <si>
    <t xml:space="preserve">50 to 80%</t>
  </si>
  <si>
    <t xml:space="preserve">&gt; 80%</t>
  </si>
  <si>
    <t xml:space="preserve">GAV concentration - Top core holding (%)</t>
  </si>
  <si>
    <t xml:space="preserve">GAV concentration - Top three core holdings (%)</t>
  </si>
  <si>
    <t xml:space="preserve">20 to 35%</t>
  </si>
  <si>
    <t xml:space="preserve">35 to 50%</t>
  </si>
  <si>
    <t xml:space="preserve">Sector-specific factor 3</t>
  </si>
  <si>
    <t xml:space="preserve">Portfolio liquidity</t>
  </si>
  <si>
    <t xml:space="preserve">Listed portfolio (% of GAV)</t>
  </si>
  <si>
    <t xml:space="preserve">Ability to divest</t>
  </si>
  <si>
    <t xml:space="preserve">Unrestricted</t>
  </si>
  <si>
    <t xml:space="preserve">Limited</t>
  </si>
  <si>
    <t xml:space="preserve">Sector-specific factor 4</t>
  </si>
  <si>
    <t xml:space="preserve">Investment philosophy</t>
  </si>
  <si>
    <t xml:space="preserve">Portfolio value development</t>
  </si>
  <si>
    <t xml:space="preserve">Limited track record</t>
  </si>
  <si>
    <t xml:space="preserve">Investment policy</t>
  </si>
  <si>
    <t xml:space="preserve">Long-term investment horizon and/or defined exit strategy</t>
  </si>
  <si>
    <t xml:space="preserve">Medium investment horizon with defined portfolio rebalancing targets</t>
  </si>
  <si>
    <t xml:space="preserve">MethodologyList</t>
  </si>
  <si>
    <t xml:space="preserve">SectorList</t>
  </si>
  <si>
    <t xml:space="preserve">SectorRiskScoreList</t>
  </si>
  <si>
    <t xml:space="preserve">NotchingList</t>
  </si>
  <si>
    <t xml:space="preserve">OutlookList</t>
  </si>
  <si>
    <t xml:space="preserve">ShortTermRatingsList</t>
  </si>
  <si>
    <t xml:space="preserve">ShortTermDebtRatingCriteriaList</t>
  </si>
  <si>
    <t xml:space="preserve">RecoveryExpectationsList</t>
  </si>
  <si>
    <t xml:space="preserve">AccountingPrinciplesList</t>
  </si>
  <si>
    <t xml:space="preserve">MonthList</t>
  </si>
  <si>
    <t xml:space="preserve">DayList</t>
  </si>
  <si>
    <t xml:space="preserve">CountryList</t>
  </si>
  <si>
    <t xml:space="preserve">CurrencyList</t>
  </si>
  <si>
    <t xml:space="preserve">ReportingUnitList</t>
  </si>
  <si>
    <t xml:space="preserve">YearList</t>
  </si>
  <si>
    <t xml:space="preserve">FrequencyList</t>
  </si>
  <si>
    <t xml:space="preserve">StatusList</t>
  </si>
  <si>
    <t xml:space="preserve">ScopeMetricsList</t>
  </si>
  <si>
    <t xml:space="preserve">ScopeadjustedEBITDAList</t>
  </si>
  <si>
    <t xml:space="preserve">ScopeadjustedFFOList</t>
  </si>
  <si>
    <t xml:space="preserve">FreeoperatingcashflowList</t>
  </si>
  <si>
    <t xml:space="preserve">ScopeadjusteddebtList</t>
  </si>
  <si>
    <t xml:space="preserve">ScopeadjustedinterestsList</t>
  </si>
  <si>
    <t xml:space="preserve">LiquidityList</t>
  </si>
  <si>
    <t xml:space="preserve">DiscretionaryCashFlowList</t>
  </si>
  <si>
    <t xml:space="preserve">LTVList</t>
  </si>
  <si>
    <t xml:space="preserve">ROCEMissing</t>
  </si>
  <si>
    <t xml:space="preserve">ROAMissing</t>
  </si>
  <si>
    <t xml:space="preserve">HeadingsList</t>
  </si>
  <si>
    <t xml:space="preserve">TotalArrayList</t>
  </si>
  <si>
    <t xml:space="preserve">TotalArray2List</t>
  </si>
  <si>
    <t xml:space="preserve">MASTERAddressList</t>
  </si>
  <si>
    <t xml:space="preserve">MASTERRangeNameList</t>
  </si>
  <si>
    <t xml:space="preserve">MASTERValidationList</t>
  </si>
  <si>
    <t xml:space="preserve">MASTERHeaderList</t>
  </si>
  <si>
    <t xml:space="preserve">MASTERFirstColumnNameList</t>
  </si>
  <si>
    <t xml:space="preserve">MASTERFirstColumnAddressList</t>
  </si>
  <si>
    <t xml:space="preserve">RatedEntityList</t>
  </si>
  <si>
    <t xml:space="preserve">IssuerIdList</t>
  </si>
  <si>
    <t xml:space="preserve">CorporateSectorList</t>
  </si>
  <si>
    <t xml:space="preserve">EV Multiples (BRP)</t>
  </si>
  <si>
    <t xml:space="preserve">EV Multiple</t>
  </si>
  <si>
    <t xml:space="preserve">Override (Yes(No)</t>
  </si>
  <si>
    <t xml:space="preserve">IndustryWeightList</t>
  </si>
  <si>
    <t xml:space="preserve">SegmentationCriteriaList</t>
  </si>
  <si>
    <t xml:space="preserve">General Corporate Rating Methodology</t>
  </si>
  <si>
    <t xml:space="preserve">+4 notches</t>
  </si>
  <si>
    <t xml:space="preserve">Positive</t>
  </si>
  <si>
    <t xml:space="preserve">S-1+</t>
  </si>
  <si>
    <t xml:space="preserve">Better than adequate</t>
  </si>
  <si>
    <t xml:space="preserve">Excellent (90-100%)</t>
  </si>
  <si>
    <t xml:space="preserve">IFRS</t>
  </si>
  <si>
    <t xml:space="preserve">December</t>
  </si>
  <si>
    <t xml:space="preserve">Czech Republic</t>
  </si>
  <si>
    <t xml:space="preserve">EUR</t>
  </si>
  <si>
    <t xml:space="preserve">Thousands</t>
  </si>
  <si>
    <t xml:space="preserve">Y</t>
  </si>
  <si>
    <t xml:space="preserve">Actual</t>
  </si>
  <si>
    <t xml:space="preserve">Scope-adjusted EBITDA interest cover</t>
  </si>
  <si>
    <t xml:space="preserve">EBITDA</t>
  </si>
  <si>
    <t xml:space="preserve">Scope-adjusted EBITDA</t>
  </si>
  <si>
    <t xml:space="preserve">Scope-adjusted FFO</t>
  </si>
  <si>
    <t xml:space="preserve">Reported gross debt</t>
  </si>
  <si>
    <t xml:space="preserve">Interest paid</t>
  </si>
  <si>
    <t xml:space="preserve">Cash and marketable securities equivalents (t-1)</t>
  </si>
  <si>
    <t xml:space="preserve">Free Operating Cash Flow</t>
  </si>
  <si>
    <t xml:space="preserve">Total Assets</t>
  </si>
  <si>
    <t xml:space="preserve">EBIT</t>
  </si>
  <si>
    <t xml:space="preserve">PPE</t>
  </si>
  <si>
    <t xml:space="preserve">[Scope Credit Metrics]</t>
  </si>
  <si>
    <t xml:space="preserve">[Scope Credit Metrics]_[Scope Credit Metrics]</t>
  </si>
  <si>
    <t xml:space="preserve">FRP_ScopeMetrics_ScopeMetricsTest</t>
  </si>
  <si>
    <t xml:space="preserve">$D$14</t>
  </si>
  <si>
    <t xml:space="preserve">AccountingPrinciples</t>
  </si>
  <si>
    <t xml:space="preserve">"=AccountingPrinciplesList"</t>
  </si>
  <si>
    <t xml:space="preserve">Accounting Principles</t>
  </si>
  <si>
    <t xml:space="preserve">Accounting principles</t>
  </si>
  <si>
    <t xml:space="preserve">$C$14</t>
  </si>
  <si>
    <t xml:space="preserve"> Duna Aszfalt Zrt.</t>
  </si>
  <si>
    <t xml:space="preserve">Automobiles &amp; Parts</t>
  </si>
  <si>
    <t xml:space="preserve">Yes</t>
  </si>
  <si>
    <t xml:space="preserve">Revenue contribution</t>
  </si>
  <si>
    <t xml:space="preserve">Automotive and Commercial Vehicle Manufacturers</t>
  </si>
  <si>
    <t xml:space="preserve">+3 notches</t>
  </si>
  <si>
    <t xml:space="preserve">Under review for possible upgrade</t>
  </si>
  <si>
    <t xml:space="preserve">S-1</t>
  </si>
  <si>
    <t xml:space="preserve">Adequate</t>
  </si>
  <si>
    <t xml:space="preserve">Superior (70-90%)</t>
  </si>
  <si>
    <t xml:space="preserve">US-GAAP</t>
  </si>
  <si>
    <t xml:space="preserve">January</t>
  </si>
  <si>
    <t xml:space="preserve">Federal Republic of Germany</t>
  </si>
  <si>
    <t xml:space="preserve">HUF</t>
  </si>
  <si>
    <t xml:space="preserve">Millions</t>
  </si>
  <si>
    <t xml:space="preserve">Q1</t>
  </si>
  <si>
    <t xml:space="preserve">Estimate</t>
  </si>
  <si>
    <t xml:space="preserve">Scope-adjusted debt/EBITDA</t>
  </si>
  <si>
    <t xml:space="preserve">Operating lease payment in respective year</t>
  </si>
  <si>
    <t xml:space="preserve">less: Scope-adjusted interest</t>
  </si>
  <si>
    <t xml:space="preserve">Working capital changes</t>
  </si>
  <si>
    <t xml:space="preserve">Cash and cash equivalents</t>
  </si>
  <si>
    <t xml:space="preserve">Interest received</t>
  </si>
  <si>
    <t xml:space="preserve">Restricted cash (t-1)</t>
  </si>
  <si>
    <t xml:space="preserve">Dividends</t>
  </si>
  <si>
    <t xml:space="preserve">less: Cash &amp; Equivalents</t>
  </si>
  <si>
    <t xml:space="preserve">Right of use asset</t>
  </si>
  <si>
    <t xml:space="preserve">[Scope-adjusted EBITDA]</t>
  </si>
  <si>
    <t xml:space="preserve">[Scope Credit Metrics]_SaD/EBITDA (x)</t>
  </si>
  <si>
    <t xml:space="preserve">FRP_ScopeMetrics_SAD_To_EBITDA</t>
  </si>
  <si>
    <t xml:space="preserve">$D$24</t>
  </si>
  <si>
    <t xml:space="preserve">AddFactors</t>
  </si>
  <si>
    <t xml:space="preserve">"=RatingScaleList"</t>
  </si>
  <si>
    <t xml:space="preserve">Additionl Factors</t>
  </si>
  <si>
    <t xml:space="preserve">Sector/company-specific factors (1)</t>
  </si>
  <si>
    <t xml:space="preserve">$C$24</t>
  </si>
  <si>
    <t xml:space="preserve"> HRWorks GmbH</t>
  </si>
  <si>
    <t xml:space="preserve">Basic Materials</t>
  </si>
  <si>
    <t xml:space="preserve">No</t>
  </si>
  <si>
    <t xml:space="preserve">EBITDA contribution</t>
  </si>
  <si>
    <t xml:space="preserve">Automotive Suppliers</t>
  </si>
  <si>
    <t xml:space="preserve">+2 notches</t>
  </si>
  <si>
    <t xml:space="preserve">Stable</t>
  </si>
  <si>
    <t xml:space="preserve">S-2</t>
  </si>
  <si>
    <t xml:space="preserve">Worse than adequate</t>
  </si>
  <si>
    <t xml:space="preserve">Above average (50-70%)</t>
  </si>
  <si>
    <t xml:space="preserve">Local GAAP</t>
  </si>
  <si>
    <t xml:space="preserve">February</t>
  </si>
  <si>
    <t xml:space="preserve">Federal Republic of Nigeria</t>
  </si>
  <si>
    <t xml:space="preserve">USD</t>
  </si>
  <si>
    <t xml:space="preserve">Billions</t>
  </si>
  <si>
    <t xml:space="preserve">Q2</t>
  </si>
  <si>
    <t xml:space="preserve">Scope-adjusted FFO/debt</t>
  </si>
  <si>
    <t xml:space="preserve">Disposal gains fixed assets</t>
  </si>
  <si>
    <t xml:space="preserve">less: cash tax paid as per cashflow statement</t>
  </si>
  <si>
    <t xml:space="preserve">Non-Operating cash flow</t>
  </si>
  <si>
    <t xml:space="preserve">Restricted cash</t>
  </si>
  <si>
    <t xml:space="preserve">Interest expense pensions</t>
  </si>
  <si>
    <t xml:space="preserve">Free operating cash flow (t)</t>
  </si>
  <si>
    <t xml:space="preserve">Discretionary Cash Flow</t>
  </si>
  <si>
    <t xml:space="preserve">Fair value of derivatives</t>
  </si>
  <si>
    <t xml:space="preserve">Current Assets</t>
  </si>
  <si>
    <t xml:space="preserve">Inventory</t>
  </si>
  <si>
    <t xml:space="preserve">[Scope-adjusted FFO]</t>
  </si>
  <si>
    <t xml:space="preserve">[Scope Credit Metrics]_FFO/SaD (%)</t>
  </si>
  <si>
    <t xml:space="preserve">FRP_ScopeMetrics_FFO_To_SaD</t>
  </si>
  <si>
    <t xml:space="preserve">$D$25</t>
  </si>
  <si>
    <t xml:space="preserve">Sector/company-specific factors (2)</t>
  </si>
  <si>
    <t xml:space="preserve">$C$25</t>
  </si>
  <si>
    <t xml:space="preserve">2I RETE GAS SPA</t>
  </si>
  <si>
    <t xml:space="preserve">Chemicals</t>
  </si>
  <si>
    <t xml:space="preserve">Government Related Entities Rating Methodology</t>
  </si>
  <si>
    <t xml:space="preserve">Business and Consumer Services: asset-light, unspecialised workforce</t>
  </si>
  <si>
    <t xml:space="preserve">+1 notch</t>
  </si>
  <si>
    <t xml:space="preserve">Under review for possible downgrade</t>
  </si>
  <si>
    <t xml:space="preserve">S-3</t>
  </si>
  <si>
    <t xml:space="preserve">Average (30-50%)</t>
  </si>
  <si>
    <t xml:space="preserve">March</t>
  </si>
  <si>
    <t xml:space="preserve">French Republic</t>
  </si>
  <si>
    <t xml:space="preserve">AMD</t>
  </si>
  <si>
    <t xml:space="preserve">Q3</t>
  </si>
  <si>
    <t xml:space="preserve">Scope-adjusted loan/value</t>
  </si>
  <si>
    <t xml:space="preserve">Special Items</t>
  </si>
  <si>
    <t xml:space="preserve">add: depreciation component op leases</t>
  </si>
  <si>
    <t xml:space="preserve">Capex (net)</t>
  </si>
  <si>
    <t xml:space="preserve">Pension adjustment</t>
  </si>
  <si>
    <t xml:space="preserve">Interest component operating leases</t>
  </si>
  <si>
    <t xml:space="preserve">Committed unused bank facilities (t-1)</t>
  </si>
  <si>
    <t xml:space="preserve">Difference of fair value of properties or other holdings compared to book value</t>
  </si>
  <si>
    <t xml:space="preserve">Investments in JV,associates and Securities</t>
  </si>
  <si>
    <t xml:space="preserve">S.A. EBITDA</t>
  </si>
  <si>
    <t xml:space="preserve">[Free operating cash flow]</t>
  </si>
  <si>
    <t xml:space="preserve">[Scope Credit Metrics]_FOCF/SaD (%)</t>
  </si>
  <si>
    <t xml:space="preserve">FRP_ScopeMetrics_FOCF_To_SaD</t>
  </si>
  <si>
    <t xml:space="preserve">$D$18</t>
  </si>
  <si>
    <t xml:space="preserve">BRP</t>
  </si>
  <si>
    <t xml:space="preserve">Business Risk Profile_Score</t>
  </si>
  <si>
    <t xml:space="preserve">Business risk profile</t>
  </si>
  <si>
    <t xml:space="preserve">$C$18</t>
  </si>
  <si>
    <t xml:space="preserve">4iG Nyilvánosan Működő Részvénytársaság</t>
  </si>
  <si>
    <t xml:space="preserve">Construction &amp; Materials</t>
  </si>
  <si>
    <t xml:space="preserve">Business and Consumer Services: asset-light, specialised workforce</t>
  </si>
  <si>
    <t xml:space="preserve">± 0 notches</t>
  </si>
  <si>
    <t xml:space="preserve">S-4</t>
  </si>
  <si>
    <t xml:space="preserve">Low (10-30%)</t>
  </si>
  <si>
    <t xml:space="preserve">April</t>
  </si>
  <si>
    <t xml:space="preserve">Grand Duchy of Luxemburg</t>
  </si>
  <si>
    <t xml:space="preserve">AED</t>
  </si>
  <si>
    <t xml:space="preserve">Q4</t>
  </si>
  <si>
    <t xml:space="preserve">Scope-adjusted FOCF/debt</t>
  </si>
  <si>
    <t xml:space="preserve">add: dividends received from @equity</t>
  </si>
  <si>
    <t xml:space="preserve">Amortization of leases</t>
  </si>
  <si>
    <t xml:space="preserve">Leasing adjustment</t>
  </si>
  <si>
    <t xml:space="preserve">Interest subordinated (hybrid) debt</t>
  </si>
  <si>
    <t xml:space="preserve">Committed unused factoring facilities (t-1)</t>
  </si>
  <si>
    <t xml:space="preserve">Total LTV</t>
  </si>
  <si>
    <t xml:space="preserve">[Scope-adjusted debt (SaD)]</t>
  </si>
  <si>
    <t xml:space="preserve">[Scope Credit Metrics]_EBITDA interest cover (x)</t>
  </si>
  <si>
    <t xml:space="preserve">FRP_ScopeMetrics_EBITDA_INTEREST_COVER</t>
  </si>
  <si>
    <t xml:space="preserve">$D$30</t>
  </si>
  <si>
    <t xml:space="preserve">CashflowGeneration</t>
  </si>
  <si>
    <t xml:space="preserve">Cash flow Generation_Score</t>
  </si>
  <si>
    <t xml:space="preserve">Cash flow cover</t>
  </si>
  <si>
    <t xml:space="preserve">$C$30</t>
  </si>
  <si>
    <t xml:space="preserve">Å ENERGI AS</t>
  </si>
  <si>
    <t xml:space="preserve">Financial Services</t>
  </si>
  <si>
    <t xml:space="preserve">Business and Consumer Services: asset-heavy, unspecialised workforce</t>
  </si>
  <si>
    <t xml:space="preserve">-1 notch</t>
  </si>
  <si>
    <t xml:space="preserve">Under review for a developing outcome</t>
  </si>
  <si>
    <t xml:space="preserve">Very low (0-10%)</t>
  </si>
  <si>
    <t xml:space="preserve">May</t>
  </si>
  <si>
    <t xml:space="preserve">Hellenic Republic</t>
  </si>
  <si>
    <t xml:space="preserve">AZN</t>
  </si>
  <si>
    <t xml:space="preserve">H1</t>
  </si>
  <si>
    <t xml:space="preserve">Liquidity</t>
  </si>
  <si>
    <t xml:space="preserve">less: Disposal gains fixed assets</t>
  </si>
  <si>
    <t xml:space="preserve">FOCF</t>
  </si>
  <si>
    <t xml:space="preserve">Subordinated (hybrid) debt</t>
  </si>
  <si>
    <t xml:space="preserve">Other capitalised interest</t>
  </si>
  <si>
    <t xml:space="preserve">Short-term debt (t-1)</t>
  </si>
  <si>
    <t xml:space="preserve">[Scope-adjusted interests]</t>
  </si>
  <si>
    <t xml:space="preserve">[Scope Credit Metrics]_Liquidity (%)</t>
  </si>
  <si>
    <t xml:space="preserve">FRP_ScopeMetrics_LIQUIDITY</t>
  </si>
  <si>
    <t xml:space="preserve">$D$20</t>
  </si>
  <si>
    <t xml:space="preserve">CompetitivePositioning</t>
  </si>
  <si>
    <t xml:space="preserve">Competitive Positioning_Score</t>
  </si>
  <si>
    <t xml:space="preserve">Competitive Positioning</t>
  </si>
  <si>
    <t xml:space="preserve">$C$20</t>
  </si>
  <si>
    <t xml:space="preserve">A2A SPA</t>
  </si>
  <si>
    <t xml:space="preserve">Food &amp; Beverage</t>
  </si>
  <si>
    <t xml:space="preserve">Business and Consumer Services: asset-heavy, specialised workforce</t>
  </si>
  <si>
    <t xml:space="preserve">-2 notches</t>
  </si>
  <si>
    <t xml:space="preserve">June</t>
  </si>
  <si>
    <t xml:space="preserve">Hungary</t>
  </si>
  <si>
    <t xml:space="preserve">BAM</t>
  </si>
  <si>
    <t xml:space="preserve">H2</t>
  </si>
  <si>
    <t xml:space="preserve">Asset Retirement obligation</t>
  </si>
  <si>
    <t xml:space="preserve">Scope-Adjusted Interest</t>
  </si>
  <si>
    <t xml:space="preserve">Liquidity (%) - internal</t>
  </si>
  <si>
    <t xml:space="preserve">[Liquidity]</t>
  </si>
  <si>
    <t xml:space="preserve">[Scope Credit Metrics]_Scope-adjusted LTV (%)</t>
  </si>
  <si>
    <t xml:space="preserve">FRP_ScopeMetrics_LTV</t>
  </si>
  <si>
    <t xml:space="preserve">$D$13</t>
  </si>
  <si>
    <t xml:space="preserve">Country</t>
  </si>
  <si>
    <t xml:space="preserve">"=CountryList"</t>
  </si>
  <si>
    <t xml:space="preserve">Country of origin</t>
  </si>
  <si>
    <t xml:space="preserve">$C$13</t>
  </si>
  <si>
    <t xml:space="preserve">ABB Finance (Australia) Pty Limited</t>
  </si>
  <si>
    <t xml:space="preserve">Healthcare</t>
  </si>
  <si>
    <t xml:space="preserve">-3 notches</t>
  </si>
  <si>
    <t xml:space="preserve">July</t>
  </si>
  <si>
    <t xml:space="preserve">Ireland</t>
  </si>
  <si>
    <t xml:space="preserve">BGN</t>
  </si>
  <si>
    <t xml:space="preserve">9M</t>
  </si>
  <si>
    <t xml:space="preserve">Scope-adjusted debt (SaD)</t>
  </si>
  <si>
    <t xml:space="preserve">Liquidity (%) - internal+external</t>
  </si>
  <si>
    <t xml:space="preserve">[Discretionary Cash Flow]</t>
  </si>
  <si>
    <t xml:space="preserve">[Scope Credit Metrics]_ROCE</t>
  </si>
  <si>
    <t xml:space="preserve">FRP_ScopeMetrics_ROCE</t>
  </si>
  <si>
    <t xml:space="preserve">$D$12</t>
  </si>
  <si>
    <t xml:space="preserve">Currency</t>
  </si>
  <si>
    <t xml:space="preserve">"=CurrencyList"</t>
  </si>
  <si>
    <t xml:space="preserve">Reporting Currency/Units</t>
  </si>
  <si>
    <t xml:space="preserve">$C$12</t>
  </si>
  <si>
    <t xml:space="preserve">ABB FINANCE (USA) INC</t>
  </si>
  <si>
    <t xml:space="preserve">Industrial Goods &amp; Services</t>
  </si>
  <si>
    <t xml:space="preserve">-4 notches</t>
  </si>
  <si>
    <t xml:space="preserve">August</t>
  </si>
  <si>
    <t xml:space="preserve">Isle of Man</t>
  </si>
  <si>
    <t xml:space="preserve">BYN</t>
  </si>
  <si>
    <t xml:space="preserve">LTM</t>
  </si>
  <si>
    <t xml:space="preserve">[LTV]</t>
  </si>
  <si>
    <t xml:space="preserve">[Scope-adjusted EBITDA]_[Scope-adjusted EBITDA]</t>
  </si>
  <si>
    <t xml:space="preserve">FRP_ScopeadjustedEBITDA_ScopeadjustedEBITDA</t>
  </si>
  <si>
    <t xml:space="preserve">$D$29</t>
  </si>
  <si>
    <t xml:space="preserve">DebtProtection</t>
  </si>
  <si>
    <t xml:space="preserve">Debt Protection_Score</t>
  </si>
  <si>
    <t xml:space="preserve">Interest cover</t>
  </si>
  <si>
    <t xml:space="preserve">$C$29</t>
  </si>
  <si>
    <t xml:space="preserve">ABB FINANCE BV</t>
  </si>
  <si>
    <t xml:space="preserve">September</t>
  </si>
  <si>
    <t xml:space="preserve">Italian Republic</t>
  </si>
  <si>
    <t xml:space="preserve">CHF</t>
  </si>
  <si>
    <t xml:space="preserve">[Scope-adjusted EBITDA]_EBITDA</t>
  </si>
  <si>
    <t xml:space="preserve">FRP_ScopeadjustedEBITDA_EBITDA</t>
  </si>
  <si>
    <t xml:space="preserve">$D$22</t>
  </si>
  <si>
    <t xml:space="preserve">Diversification_Score</t>
  </si>
  <si>
    <t xml:space="preserve">$C$22</t>
  </si>
  <si>
    <t xml:space="preserve">ABB LTD</t>
  </si>
  <si>
    <t xml:space="preserve">Oil &amp; Gas</t>
  </si>
  <si>
    <t xml:space="preserve">October</t>
  </si>
  <si>
    <t xml:space="preserve">Kingdom of Belgium</t>
  </si>
  <si>
    <t xml:space="preserve">[Scope-adjusted EBITDA]_Operating lease payment in respective year</t>
  </si>
  <si>
    <t xml:space="preserve">FRP_ScopeadjustedEBITDA_OPERATING_LEASE_PAYMENTS</t>
  </si>
  <si>
    <t xml:space="preserve">$D$15</t>
  </si>
  <si>
    <t xml:space="preserve">EndofBusinessYearMonth</t>
  </si>
  <si>
    <t xml:space="preserve">"=MonthList"</t>
  </si>
  <si>
    <t xml:space="preserve">End of business year</t>
  </si>
  <si>
    <t xml:space="preserve">$C$15</t>
  </si>
  <si>
    <t xml:space="preserve">ABB TREASURY CENTER (USA) INC</t>
  </si>
  <si>
    <t xml:space="preserve">Personal &amp; Household Goods</t>
  </si>
  <si>
    <t xml:space="preserve">November</t>
  </si>
  <si>
    <t xml:space="preserve">Kingdom of Denmark</t>
  </si>
  <si>
    <t xml:space="preserve">CZK</t>
  </si>
  <si>
    <t xml:space="preserve">[Scope-adjusted EBITDA]_Disposal gains fixed assets</t>
  </si>
  <si>
    <t xml:space="preserve">FRP_ScopeadjustedEBITDA_DISPOSAL_GAINS_FIXED_ASSETS</t>
  </si>
  <si>
    <t xml:space="preserve">$E$15</t>
  </si>
  <si>
    <t xml:space="preserve">EndofBusinessYearDay</t>
  </si>
  <si>
    <t xml:space="preserve">"=DayList"</t>
  </si>
  <si>
    <t xml:space="preserve">Abroncs Kereskedőház Korlátolt Felelősségű Társaság</t>
  </si>
  <si>
    <t xml:space="preserve">Real Estate</t>
  </si>
  <si>
    <t xml:space="preserve">Kingdom of Morocco</t>
  </si>
  <si>
    <t xml:space="preserve">DKK</t>
  </si>
  <si>
    <t xml:space="preserve">[Scope-adjusted EBITDA]_Special Items</t>
  </si>
  <si>
    <t xml:space="preserve">FRP_ScopeadjustedEBITDA_SPECIAL_ITEMS</t>
  </si>
  <si>
    <t xml:space="preserve">$D$37</t>
  </si>
  <si>
    <t xml:space="preserve">FinancialPolicy</t>
  </si>
  <si>
    <t xml:space="preserve">"=NotchingList"</t>
  </si>
  <si>
    <t xml:space="preserve">Financial Policy</t>
  </si>
  <si>
    <t xml:space="preserve">$C$37</t>
  </si>
  <si>
    <t xml:space="preserve">ACAZIS AG</t>
  </si>
  <si>
    <t xml:space="preserve">Retail</t>
  </si>
  <si>
    <t xml:space="preserve">Kingdom of Norway</t>
  </si>
  <si>
    <t xml:space="preserve">GBP</t>
  </si>
  <si>
    <t xml:space="preserve">[Scope-adjusted EBITDA]_Scope-adjusted EBITDA</t>
  </si>
  <si>
    <t xml:space="preserve">FRP_ScopeadjustedEBITDA_ScopeadjustedEBITDA_TOTAL</t>
  </si>
  <si>
    <t xml:space="preserve">$D$27</t>
  </si>
  <si>
    <t xml:space="preserve">FRP</t>
  </si>
  <si>
    <t xml:space="preserve">Financial Risk Profile_Score</t>
  </si>
  <si>
    <t xml:space="preserve">Financial risk profile</t>
  </si>
  <si>
    <t xml:space="preserve">$C$27</t>
  </si>
  <si>
    <t xml:space="preserve">ACEA SPA</t>
  </si>
  <si>
    <t xml:space="preserve">Technology</t>
  </si>
  <si>
    <t xml:space="preserve">Kingdom of Spain</t>
  </si>
  <si>
    <t xml:space="preserve">GEL</t>
  </si>
  <si>
    <t xml:space="preserve">[Scope-adjusted FFO]_[Scope-adjusted FFO]</t>
  </si>
  <si>
    <t xml:space="preserve">FRP_ScopeadjustedFFO_ScopeadjustedFFO</t>
  </si>
  <si>
    <t xml:space="preserve">$D$40</t>
  </si>
  <si>
    <t xml:space="preserve">Governance</t>
  </si>
  <si>
    <t xml:space="preserve">Governance &amp; Structure</t>
  </si>
  <si>
    <t xml:space="preserve">$C$40</t>
  </si>
  <si>
    <t xml:space="preserve">Acorn Holdings B.V.</t>
  </si>
  <si>
    <t xml:space="preserve">Kingdom of Sweden</t>
  </si>
  <si>
    <t xml:space="preserve">HRK</t>
  </si>
  <si>
    <t xml:space="preserve">[Scope-adjusted FFO]_EBITDA</t>
  </si>
  <si>
    <t xml:space="preserve">FRP_ScopeadjustedFFO_EBITDA</t>
  </si>
  <si>
    <t xml:space="preserve">$D$7</t>
  </si>
  <si>
    <t xml:space="preserve">IndustryRisk1</t>
  </si>
  <si>
    <t xml:space="preserve">"=SectorList"</t>
  </si>
  <si>
    <t xml:space="preserve">Industry risk</t>
  </si>
  <si>
    <t xml:space="preserve">$C$7</t>
  </si>
  <si>
    <t xml:space="preserve">ACS Actividades de Construccion y Servicios SA</t>
  </si>
  <si>
    <t xml:space="preserve">Travel &amp; Leisure</t>
  </si>
  <si>
    <t xml:space="preserve">Kingdom of the Netherlands</t>
  </si>
  <si>
    <t xml:space="preserve">ISK</t>
  </si>
  <si>
    <t xml:space="preserve">[Scope-adjusted FFO]_less: (net) cash interest as per cashflow statement</t>
  </si>
  <si>
    <t xml:space="preserve">FRP_ScopeadjustedFFO_CASh_INTEREST_AS_PER_CASHFLOW_STATEMENT</t>
  </si>
  <si>
    <t xml:space="preserve">$E$7</t>
  </si>
  <si>
    <t xml:space="preserve">IndustryRisk2</t>
  </si>
  <si>
    <t xml:space="preserve">Addison Lee Midco II</t>
  </si>
  <si>
    <t xml:space="preserve">Utilities</t>
  </si>
  <si>
    <t xml:space="preserve">People's Republic of China</t>
  </si>
  <si>
    <t xml:space="preserve">MDL</t>
  </si>
  <si>
    <t xml:space="preserve">[Scope-adjusted FFO]_less: cash tax paid as per cashflow statement</t>
  </si>
  <si>
    <t xml:space="preserve">FRP_ScopeadjustedFFO_CASH_TAX_PAID_AS_PER_CASHFLOW_STATEMENT</t>
  </si>
  <si>
    <t xml:space="preserve">$F$7</t>
  </si>
  <si>
    <t xml:space="preserve">IndustryRisk3</t>
  </si>
  <si>
    <t xml:space="preserve">AddSecure Group Services AB</t>
  </si>
  <si>
    <t xml:space="preserve">Portuguese Republic</t>
  </si>
  <si>
    <t xml:space="preserve">MKD</t>
  </si>
  <si>
    <t xml:space="preserve">[Scope-adjusted FFO]_less: pension interest</t>
  </si>
  <si>
    <t xml:space="preserve">FRP_ScopeadjustedFFO_PENSION_INTEREST</t>
  </si>
  <si>
    <t xml:space="preserve">$G$7</t>
  </si>
  <si>
    <t xml:space="preserve">IndustryRisk4</t>
  </si>
  <si>
    <t xml:space="preserve">ADIDAS AG</t>
  </si>
  <si>
    <t xml:space="preserve">Republic of Austria</t>
  </si>
  <si>
    <t xml:space="preserve">NGN</t>
  </si>
  <si>
    <t xml:space="preserve">[Scope-adjusted FFO]_add: depreciation component op leases</t>
  </si>
  <si>
    <t xml:space="preserve">FRP_ScopeadjustedFFO_DEPRECIATION_COMPONENT_OP_LEASES</t>
  </si>
  <si>
    <t xml:space="preserve">$H$7</t>
  </si>
  <si>
    <t xml:space="preserve">IndustryRisk5</t>
  </si>
  <si>
    <t xml:space="preserve">Adler Real Estate AG</t>
  </si>
  <si>
    <t xml:space="preserve">Republic of Bulgaria</t>
  </si>
  <si>
    <t xml:space="preserve">NOK</t>
  </si>
  <si>
    <t xml:space="preserve">[Scope-adjusted FFO]_add: dividends received from @equity</t>
  </si>
  <si>
    <t xml:space="preserve">FRP_ScopeadjustedFFO_DIVIDENDS_RECEIVED_FROM_EQUITY</t>
  </si>
  <si>
    <t xml:space="preserve">$I$7</t>
  </si>
  <si>
    <t xml:space="preserve">IndustryRisk6</t>
  </si>
  <si>
    <t xml:space="preserve">Republic of Croatia</t>
  </si>
  <si>
    <t xml:space="preserve">PLN</t>
  </si>
  <si>
    <t xml:space="preserve">[Scope-adjusted FFO]_less: Disposal gains fixed assets</t>
  </si>
  <si>
    <t xml:space="preserve">FRP_ScopeadjustedFFO_DISPOSAL_GAINS_FIXED_ASSETS</t>
  </si>
  <si>
    <t xml:space="preserve">$J$7</t>
  </si>
  <si>
    <t xml:space="preserve">IndustryRisk7</t>
  </si>
  <si>
    <t xml:space="preserve">AGRI-CORN Kft</t>
  </si>
  <si>
    <t xml:space="preserve">Metals &amp; Mining</t>
  </si>
  <si>
    <t xml:space="preserve">Republic of Cyprus</t>
  </si>
  <si>
    <t xml:space="preserve">RMB</t>
  </si>
  <si>
    <t xml:space="preserve">[Scope-adjusted FFO]_Scope-adjusted FFO</t>
  </si>
  <si>
    <t xml:space="preserve">FRP_ScopeadjustedFFO_ScopeadjustedFFO_TOTAL</t>
  </si>
  <si>
    <t xml:space="preserve">$D$8</t>
  </si>
  <si>
    <t xml:space="preserve">IndustryRiskScore1</t>
  </si>
  <si>
    <t xml:space="preserve">"=SectorRiskScoreList"</t>
  </si>
  <si>
    <t xml:space="preserve">Industry risk score</t>
  </si>
  <si>
    <t xml:space="preserve">$C$8</t>
  </si>
  <si>
    <t xml:space="preserve">AHOLD FINANCE USA LLC</t>
  </si>
  <si>
    <t xml:space="preserve">Republic of Estonia</t>
  </si>
  <si>
    <t xml:space="preserve">RON</t>
  </si>
  <si>
    <t xml:space="preserve">[Free operating cash flow]_[Free operating cash flow]</t>
  </si>
  <si>
    <t xml:space="preserve">FRP_Freeoperatingcashflow_Freeoperatingcashflow</t>
  </si>
  <si>
    <t xml:space="preserve">$E$8</t>
  </si>
  <si>
    <t xml:space="preserve">IndustryRiskScore2</t>
  </si>
  <si>
    <t xml:space="preserve">AIR BALTIC CORPORATION AS</t>
  </si>
  <si>
    <t xml:space="preserve">Oil&amp;Gas: E&amp;P</t>
  </si>
  <si>
    <t xml:space="preserve">Republic of Finland</t>
  </si>
  <si>
    <t xml:space="preserve">RSD</t>
  </si>
  <si>
    <t xml:space="preserve">[Free operating cash flow]_Operating cash flow</t>
  </si>
  <si>
    <t xml:space="preserve">FRP_Freeoperatingcashflow_OPERATING_CASH_FLOW</t>
  </si>
  <si>
    <t xml:space="preserve">$F$8</t>
  </si>
  <si>
    <t xml:space="preserve">IndustryRiskScore3</t>
  </si>
  <si>
    <t xml:space="preserve">Air China Ltd.</t>
  </si>
  <si>
    <t xml:space="preserve">Republic of Georgia</t>
  </si>
  <si>
    <t xml:space="preserve">RUB</t>
  </si>
  <si>
    <t xml:space="preserve">[Free operating cash flow]_Capex (net)</t>
  </si>
  <si>
    <t xml:space="preserve">FRP_Freeoperatingcashflow_CAPEX</t>
  </si>
  <si>
    <t xml:space="preserve">$G$8</t>
  </si>
  <si>
    <t xml:space="preserve">IndustryRiskScore4</t>
  </si>
  <si>
    <t xml:space="preserve">Air France KLM SA</t>
  </si>
  <si>
    <t xml:space="preserve">Republic of Latvia</t>
  </si>
  <si>
    <t xml:space="preserve">SEK</t>
  </si>
  <si>
    <t xml:space="preserve">[Free operating cash flow]_FOCF</t>
  </si>
  <si>
    <t xml:space="preserve">FRP_Freeoperatingcashflow_Freeoperatingcashflow_TOTAL</t>
  </si>
  <si>
    <t xml:space="preserve">$H$8</t>
  </si>
  <si>
    <t xml:space="preserve">IndustryRiskScore5</t>
  </si>
  <si>
    <t xml:space="preserve">Air France SA</t>
  </si>
  <si>
    <t xml:space="preserve">Republic of Lithuania</t>
  </si>
  <si>
    <t xml:space="preserve">TRY</t>
  </si>
  <si>
    <t xml:space="preserve">[Scope-adjusted debt (SaD)]_[Scope-adjusted debt (SaD)]</t>
  </si>
  <si>
    <t xml:space="preserve">FRP_Scopeadjusteddebt_Scopeadjusteddebt</t>
  </si>
  <si>
    <t xml:space="preserve">$I$8</t>
  </si>
  <si>
    <t xml:space="preserve">IndustryRiskScore6</t>
  </si>
  <si>
    <t xml:space="preserve">AIR LIQUIDE FINANCE</t>
  </si>
  <si>
    <t xml:space="preserve">Republic of Poland</t>
  </si>
  <si>
    <t xml:space="preserve">UAH</t>
  </si>
  <si>
    <t xml:space="preserve">[Scope-adjusted debt (SaD)]_Reported gross debt</t>
  </si>
  <si>
    <t xml:space="preserve">FRP_Scopeadjusteddebt_REPORTED_GROSS_DEBT</t>
  </si>
  <si>
    <t xml:space="preserve">$J$8</t>
  </si>
  <si>
    <t xml:space="preserve">IndustryRiskScore7</t>
  </si>
  <si>
    <t xml:space="preserve">AIR LIQUIDE SA</t>
  </si>
  <si>
    <t xml:space="preserve">Republic of Serbia</t>
  </si>
  <si>
    <t xml:space="preserve">[Scope-adjusted debt (SaD)]_Cash and cash equivalents</t>
  </si>
  <si>
    <t xml:space="preserve">FRP_Scopeadjusteddebt_CASH_AND_CASH_EQUIVALENTS</t>
  </si>
  <si>
    <t xml:space="preserve">$D$42</t>
  </si>
  <si>
    <t xml:space="preserve">IRfinal</t>
  </si>
  <si>
    <t xml:space="preserve">Issuer Rating</t>
  </si>
  <si>
    <t xml:space="preserve">Issuer rating</t>
  </si>
  <si>
    <t xml:space="preserve">$C$42</t>
  </si>
  <si>
    <t xml:space="preserve">AIRASIA GROUP BHD</t>
  </si>
  <si>
    <t xml:space="preserve">Republic of Slovenia</t>
  </si>
  <si>
    <t xml:space="preserve">[Scope-adjusted debt (SaD)]_Pension adjustment</t>
  </si>
  <si>
    <t xml:space="preserve">FRP_Scopeadjusteddebt_PENSION_ADJUSTMENTS</t>
  </si>
  <si>
    <t xml:space="preserve">$D$19</t>
  </si>
  <si>
    <t xml:space="preserve">IRP</t>
  </si>
  <si>
    <t xml:space="preserve">Industry Risk Profile_Score</t>
  </si>
  <si>
    <t xml:space="preserve">(Blended) Industry risk profile</t>
  </si>
  <si>
    <t xml:space="preserve">$C$19</t>
  </si>
  <si>
    <t xml:space="preserve">AIRGAS INC</t>
  </si>
  <si>
    <t xml:space="preserve">Republic of Turkey</t>
  </si>
  <si>
    <t xml:space="preserve">[Scope-adjusted debt (SaD)]_Leasing adjustment</t>
  </si>
  <si>
    <t xml:space="preserve">FRP_Scopeadjusteddebt_LEASING_ADJUSTMENT</t>
  </si>
  <si>
    <t xml:space="preserve">$D$34</t>
  </si>
  <si>
    <t xml:space="preserve">IRSA</t>
  </si>
  <si>
    <t xml:space="preserve">Issuer Rating Stand Alone</t>
  </si>
  <si>
    <t xml:space="preserve">Standalone credit assessment without supplementary rating drivers</t>
  </si>
  <si>
    <t xml:space="preserve">$C$34</t>
  </si>
  <si>
    <t xml:space="preserve">AKELIUS RESIDENTIAL PROPERTY AB (PUBL)</t>
  </si>
  <si>
    <t xml:space="preserve">Romania</t>
  </si>
  <si>
    <t xml:space="preserve">[Scope-adjusted debt (SaD)]_Subordinated (hybrid) debt</t>
  </si>
  <si>
    <t xml:space="preserve">FRP_Scopeadjusteddebt_HYBRID_DEBT</t>
  </si>
  <si>
    <t xml:space="preserve">$D$43</t>
  </si>
  <si>
    <t xml:space="preserve">IssuerOutlookfinal</t>
  </si>
  <si>
    <t xml:space="preserve">"=OutlookList"</t>
  </si>
  <si>
    <t xml:space="preserve">Outlook</t>
  </si>
  <si>
    <t xml:space="preserve">$C$43</t>
  </si>
  <si>
    <t xml:space="preserve">AKELIUS RESIDENTIAL PROPERTY FINANCING BV</t>
  </si>
  <si>
    <t xml:space="preserve">Technology: Software and IT Services</t>
  </si>
  <si>
    <t xml:space="preserve">State of Israel</t>
  </si>
  <si>
    <t xml:space="preserve">[Scope-adjusted debt (SaD)]_Asset Retirement obligation</t>
  </si>
  <si>
    <t xml:space="preserve">FRP_Scopeadjusteddebt_ASSET_RETIREMENT_OBLIGATION</t>
  </si>
  <si>
    <t xml:space="preserve">$D$28</t>
  </si>
  <si>
    <t xml:space="preserve">Leverage</t>
  </si>
  <si>
    <t xml:space="preserve">Leverage_Score</t>
  </si>
  <si>
    <t xml:space="preserve">$C$28</t>
  </si>
  <si>
    <t xml:space="preserve">AKER ASA</t>
  </si>
  <si>
    <t xml:space="preserve">Swiss Confederation</t>
  </si>
  <si>
    <t xml:space="preserve">[Scope-adjusted debt (SaD)]_Scope-adjusted debt (SaD)</t>
  </si>
  <si>
    <t xml:space="preserve">FRP_Scopeadjusteddebt_Scopeadjusteddebt_TOTAL</t>
  </si>
  <si>
    <t xml:space="preserve">$D$31</t>
  </si>
  <si>
    <t xml:space="preserve">LiquidityScore</t>
  </si>
  <si>
    <t xml:space="preserve">Liquidity_Score</t>
  </si>
  <si>
    <t xml:space="preserve">$C$31</t>
  </si>
  <si>
    <t xml:space="preserve">AKERSHUS ENERGI AS</t>
  </si>
  <si>
    <t xml:space="preserve">Ukraine</t>
  </si>
  <si>
    <t xml:space="preserve">[Scope-adjusted interests]_[Scope-adjusted interests]</t>
  </si>
  <si>
    <t xml:space="preserve">FRP_Scopeadjustedinterests_Scopeadjustedinterests</t>
  </si>
  <si>
    <t xml:space="preserve">$D$21</t>
  </si>
  <si>
    <t xml:space="preserve">MarketPosition</t>
  </si>
  <si>
    <t xml:space="preserve">Market Position_Score</t>
  </si>
  <si>
    <t xml:space="preserve">$C$21</t>
  </si>
  <si>
    <t xml:space="preserve">AKTIESELSKABET SCHOUW &amp; CO.</t>
  </si>
  <si>
    <t xml:space="preserve">United Arab Emirates</t>
  </si>
  <si>
    <t xml:space="preserve">[Scope-adjusted interests]_Interest paid</t>
  </si>
  <si>
    <t xml:space="preserve">FRP_Scopeadjustedinterests_INTEREST_PAID</t>
  </si>
  <si>
    <t xml:space="preserve">$D$5</t>
  </si>
  <si>
    <t xml:space="preserve">Methodology1</t>
  </si>
  <si>
    <t xml:space="preserve">"=MethodologyList"</t>
  </si>
  <si>
    <t xml:space="preserve">Rating methodologies applied</t>
  </si>
  <si>
    <t xml:space="preserve">$C$5</t>
  </si>
  <si>
    <t xml:space="preserve">AKZO NOBEL NV</t>
  </si>
  <si>
    <t xml:space="preserve">United Kingdom</t>
  </si>
  <si>
    <t xml:space="preserve">[Scope-adjusted interests]_Interest received</t>
  </si>
  <si>
    <t xml:space="preserve">FRP_Scopeadjustedinterests_INTEREST_RECEIVED</t>
  </si>
  <si>
    <t xml:space="preserve">$E$5</t>
  </si>
  <si>
    <t xml:space="preserve">Methodology2</t>
  </si>
  <si>
    <t xml:space="preserve">AKZO NOBEL SWEDEN FINANCE AB (PUBL)</t>
  </si>
  <si>
    <t xml:space="preserve">United States of America</t>
  </si>
  <si>
    <t xml:space="preserve">[Scope-adjusted interests]_Interest expense pensions</t>
  </si>
  <si>
    <t xml:space="preserve">FRP_Scopeadjustedinterests_INTEREST_EXPENSE_PENSIONS</t>
  </si>
  <si>
    <t xml:space="preserve">$F$5</t>
  </si>
  <si>
    <t xml:space="preserve">Methodology3</t>
  </si>
  <si>
    <t xml:space="preserve">ALDESA FINANCIAL SERVICES SA</t>
  </si>
  <si>
    <t xml:space="preserve">[Scope-adjusted interests]_Interest component operating leases</t>
  </si>
  <si>
    <t xml:space="preserve">FRP_Scopeadjustedinterests_INTEREST_COMPONENT_OPERATING_LEASES</t>
  </si>
  <si>
    <t xml:space="preserve">$G$5</t>
  </si>
  <si>
    <t xml:space="preserve">Methodology4</t>
  </si>
  <si>
    <t xml:space="preserve">Alfa Equity Holding Kft</t>
  </si>
  <si>
    <t xml:space="preserve">[Scope-adjusted interests]_Scope-Adjusted Interest</t>
  </si>
  <si>
    <t xml:space="preserve">FRP_Scopeadjustedinterests_Scopeadjustedinterests_TOTAL</t>
  </si>
  <si>
    <t xml:space="preserve">$H$5</t>
  </si>
  <si>
    <t xml:space="preserve">Methodology5</t>
  </si>
  <si>
    <t xml:space="preserve">ALFA LAVAL AB</t>
  </si>
  <si>
    <t xml:space="preserve">[Liquidity]_[Liquidity]</t>
  </si>
  <si>
    <t xml:space="preserve">FRP_Liquidity_Liquidity</t>
  </si>
  <si>
    <t xml:space="preserve">$I$5</t>
  </si>
  <si>
    <t xml:space="preserve">Methodology6</t>
  </si>
  <si>
    <t xml:space="preserve">ALFA LAVAL TREASURY INTERNATIONAL AB (PUBL)</t>
  </si>
  <si>
    <t xml:space="preserve">[Liquidity]_Cash and marketable securities equivalents (t-1)</t>
  </si>
  <si>
    <t xml:space="preserve">FRP_Liquidity_CASH_AND_MARKETABLE_SECURITIES_EQUIVALENTS</t>
  </si>
  <si>
    <t xml:space="preserve">$J$5</t>
  </si>
  <si>
    <t xml:space="preserve">Methodology7</t>
  </si>
  <si>
    <t xml:space="preserve">ALLIANDER NV</t>
  </si>
  <si>
    <t xml:space="preserve">[Liquidity]_Free operating cash flow (t)</t>
  </si>
  <si>
    <t xml:space="preserve">FRP_Liquidity_FREE_OPERATING_CASH_FLOW</t>
  </si>
  <si>
    <t xml:space="preserve">$D$46</t>
  </si>
  <si>
    <t xml:space="preserve">NegativeRatingChangeDriver</t>
  </si>
  <si>
    <t xml:space="preserve">"="</t>
  </si>
  <si>
    <t xml:space="preserve">Negative Rating Change Driver</t>
  </si>
  <si>
    <t xml:space="preserve">Negative rating change driver</t>
  </si>
  <si>
    <t xml:space="preserve">$C$46</t>
  </si>
  <si>
    <t xml:space="preserve">ALNO AG (Konzern)</t>
  </si>
  <si>
    <t xml:space="preserve">[Liquidity]_Committed unused bank facilities (t-1)</t>
  </si>
  <si>
    <t xml:space="preserve">FRP_Liquidity_COMMITTED_UNUSED_BANK_FACILITIES</t>
  </si>
  <si>
    <t xml:space="preserve">$D$38</t>
  </si>
  <si>
    <t xml:space="preserve">ParentSupport</t>
  </si>
  <si>
    <t xml:space="preserve">Parent Support</t>
  </si>
  <si>
    <t xml:space="preserve">Parent support</t>
  </si>
  <si>
    <t xml:space="preserve">$C$38</t>
  </si>
  <si>
    <t xml:space="preserve">ALTEO ENERGIASZOLGALTATO NYRT</t>
  </si>
  <si>
    <t xml:space="preserve">[Liquidity]_Committed unused factoring facilities (t-1)</t>
  </si>
  <si>
    <t xml:space="preserve">FRP_Liquidity_COMMITTED_UNUSED_FACTORING_LINES</t>
  </si>
  <si>
    <t xml:space="preserve">$D$39</t>
  </si>
  <si>
    <t xml:space="preserve">PeerContext</t>
  </si>
  <si>
    <t xml:space="preserve">Peer Context</t>
  </si>
  <si>
    <t xml:space="preserve">Peer context</t>
  </si>
  <si>
    <t xml:space="preserve">$C$39</t>
  </si>
  <si>
    <t xml:space="preserve">AMADEUS CAPITAL MARKETS SA</t>
  </si>
  <si>
    <t xml:space="preserve">[Liquidity]_Short-term debt (t-1)</t>
  </si>
  <si>
    <t xml:space="preserve">FRP_Liquidity_SHORT_TERM_DEBT</t>
  </si>
  <si>
    <t xml:space="preserve">$D$45</t>
  </si>
  <si>
    <t xml:space="preserve">PositiveRatingChangeDriver</t>
  </si>
  <si>
    <t xml:space="preserve">Positive Rating Change Driver</t>
  </si>
  <si>
    <t xml:space="preserve">Positive rating change driver</t>
  </si>
  <si>
    <t xml:space="preserve">$C$45</t>
  </si>
  <si>
    <t xml:space="preserve">AMADEUS FINANCE BV</t>
  </si>
  <si>
    <t xml:space="preserve">[Liquidity]_Liquidity (%) - internal</t>
  </si>
  <si>
    <t xml:space="preserve">FRP_Liquidity_INTERNAL_TOTAL</t>
  </si>
  <si>
    <t xml:space="preserve">$D$23</t>
  </si>
  <si>
    <t xml:space="preserve">Profitability</t>
  </si>
  <si>
    <t xml:space="preserve">Profitability_Score</t>
  </si>
  <si>
    <t xml:space="preserve">Operating profitability</t>
  </si>
  <si>
    <t xml:space="preserve">$C$23</t>
  </si>
  <si>
    <t xml:space="preserve">AMADEUS IT GROUP SA</t>
  </si>
  <si>
    <t xml:space="preserve">[Liquidity]_Liquidity (%) - internal+external</t>
  </si>
  <si>
    <t xml:space="preserve">FRP_Liquidity_INTERNAL_EXTERNAL_TOTAL</t>
  </si>
  <si>
    <t xml:space="preserve">$D$2</t>
  </si>
  <si>
    <t xml:space="preserve">RatedEntity</t>
  </si>
  <si>
    <t xml:space="preserve">Rated Entity</t>
  </si>
  <si>
    <t xml:space="preserve">Rated entity</t>
  </si>
  <si>
    <t xml:space="preserve">$C$2</t>
  </si>
  <si>
    <t xml:space="preserve">Amadys Group BV</t>
  </si>
  <si>
    <t xml:space="preserve">[Discretionary Cash Flow]_[Discretionary Cash Flow]</t>
  </si>
  <si>
    <t xml:space="preserve">FRP_DiscretionaryCashFlow_DiscretionaryCashFlow</t>
  </si>
  <si>
    <t xml:space="preserve">$D$52</t>
  </si>
  <si>
    <t xml:space="preserve">SeniorSecuredDebt</t>
  </si>
  <si>
    <t xml:space="preserve">Senior Secured Debt</t>
  </si>
  <si>
    <t xml:space="preserve">Senior secured debt rating</t>
  </si>
  <si>
    <t xml:space="preserve">$C$52</t>
  </si>
  <si>
    <t xml:space="preserve">ANDA PRESENT Kft</t>
  </si>
  <si>
    <t xml:space="preserve">[Discretionary Cash Flow]_Free Operating Cash Flow</t>
  </si>
  <si>
    <t xml:space="preserve">FRP_DiscretionaryCashFlow_FREE_OPERATING_CASH_FLOW</t>
  </si>
  <si>
    <t xml:space="preserve">$D$54</t>
  </si>
  <si>
    <t xml:space="preserve">SeniorUnsecuredDebt</t>
  </si>
  <si>
    <t xml:space="preserve">Senior Unsecured Debt</t>
  </si>
  <si>
    <t xml:space="preserve">Senior unsecured debt rating</t>
  </si>
  <si>
    <t xml:space="preserve">$C$54</t>
  </si>
  <si>
    <t xml:space="preserve">ANGLO AMERICAN CAPITAL PLC</t>
  </si>
  <si>
    <t xml:space="preserve">[Discretionary Cash Flow]_Dividends</t>
  </si>
  <si>
    <t xml:space="preserve">FRP_DiscretionaryCashFlow_DIVIDENDS</t>
  </si>
  <si>
    <t xml:space="preserve">$D$48</t>
  </si>
  <si>
    <t xml:space="preserve">ShorttermDebt</t>
  </si>
  <si>
    <t xml:space="preserve">"=ShortTermRatingsList"</t>
  </si>
  <si>
    <t xml:space="preserve">Short term Debt</t>
  </si>
  <si>
    <t xml:space="preserve">Short-term debt rating</t>
  </si>
  <si>
    <t xml:space="preserve">$C$48</t>
  </si>
  <si>
    <t xml:space="preserve">ANGLO AMERICAN PLC</t>
  </si>
  <si>
    <t xml:space="preserve">[Discretionary Cash Flow]_Discretionary Cash Flow</t>
  </si>
  <si>
    <t xml:space="preserve">FRP_DiscretionaryCashFlow_DiscretionaryCashFlow_TOTAL</t>
  </si>
  <si>
    <t xml:space="preserve">$D$56</t>
  </si>
  <si>
    <t xml:space="preserve">SubordinatedDebt</t>
  </si>
  <si>
    <t xml:space="preserve">Subordinated Debt</t>
  </si>
  <si>
    <t xml:space="preserve">Subordinated debt rating</t>
  </si>
  <si>
    <t xml:space="preserve">$C$56</t>
  </si>
  <si>
    <t xml:space="preserve">ANGLO AMERICAN SA FINANCE LTD</t>
  </si>
  <si>
    <t xml:space="preserve">[LTV]_[LTV]</t>
  </si>
  <si>
    <t xml:space="preserve">FRP_LTV_LTV</t>
  </si>
  <si>
    <t xml:space="preserve">$D$58</t>
  </si>
  <si>
    <t xml:space="preserve">SubordinatedHybridDebt</t>
  </si>
  <si>
    <t xml:space="preserve">Subordinated Hybrid Debt</t>
  </si>
  <si>
    <t xml:space="preserve">Subordinated (hybrid) rating</t>
  </si>
  <si>
    <t xml:space="preserve">$C$58</t>
  </si>
  <si>
    <t xml:space="preserve">ANHEUSER BUSCH INBEV NV</t>
  </si>
  <si>
    <t xml:space="preserve">[LTV]_Total Assets</t>
  </si>
  <si>
    <t xml:space="preserve">FRP_LTV_TOTAL_ASSETS</t>
  </si>
  <si>
    <t xml:space="preserve">$D$36</t>
  </si>
  <si>
    <t xml:space="preserve">SUPPRD</t>
  </si>
  <si>
    <t xml:space="preserve">Supplementary rating drivers</t>
  </si>
  <si>
    <t xml:space="preserve">$C$36</t>
  </si>
  <si>
    <t xml:space="preserve">ANHEUSER-BUSCH COMPANIES LLC</t>
  </si>
  <si>
    <t xml:space="preserve">[LTV]_Unrestricted cash and cash equivalents</t>
  </si>
  <si>
    <t xml:space="preserve">FRP_LTV_UNRESTRICTED_CASH_AND_CASH_EQUIVALENTS</t>
  </si>
  <si>
    <t xml:space="preserve">$E$12</t>
  </si>
  <si>
    <t xml:space="preserve">Unit</t>
  </si>
  <si>
    <t xml:space="preserve">"=ReportingUnitList"</t>
  </si>
  <si>
    <t xml:space="preserve">ANHEUSER-BUSCH INBEV FINANCE INC</t>
  </si>
  <si>
    <t xml:space="preserve">[LTV]_Fair value of derivatives</t>
  </si>
  <si>
    <t xml:space="preserve">FRP_LTV_FAIR_VALUE_OF_DERIVATIVES</t>
  </si>
  <si>
    <t xml:space="preserve">$D$53</t>
  </si>
  <si>
    <t xml:space="preserve">ExpectedRecoverySSDR</t>
  </si>
  <si>
    <t xml:space="preserve">"=RecoveryExpectationsList"</t>
  </si>
  <si>
    <t xml:space="preserve">Expected Recovery SSDR</t>
  </si>
  <si>
    <t xml:space="preserve">Senior secured debt rating - recovery rate</t>
  </si>
  <si>
    <t xml:space="preserve">$C$53</t>
  </si>
  <si>
    <t xml:space="preserve">ANHEUSER-BUSCH INBEV WORLDWIDE INC</t>
  </si>
  <si>
    <t xml:space="preserve">[LTV]_Difference of fair value of properties or other holdings compared to book value</t>
  </si>
  <si>
    <t xml:space="preserve">FRP_LTV_DIFFERENCE_OF_FAIR_VALUE_OF_PROPERTIES_OR_OTHER_HOLDINGS_COMPARED_TO_BOOK_VALUE</t>
  </si>
  <si>
    <t xml:space="preserve">$D$55</t>
  </si>
  <si>
    <t xml:space="preserve">ExpectedRecoverySUDR</t>
  </si>
  <si>
    <t xml:space="preserve">Expected Recovery SUDR</t>
  </si>
  <si>
    <t xml:space="preserve">Senior unsecured debt rating - recovery rate</t>
  </si>
  <si>
    <t xml:space="preserve">$C$55</t>
  </si>
  <si>
    <t xml:space="preserve">Appeninn Holding Nyrt</t>
  </si>
  <si>
    <t xml:space="preserve">[LTV]_Total LTV</t>
  </si>
  <si>
    <t xml:space="preserve">FRP_LTV_LTV_TOTAL</t>
  </si>
  <si>
    <t xml:space="preserve">$D$57</t>
  </si>
  <si>
    <t xml:space="preserve">ExpectedRecoverySDR</t>
  </si>
  <si>
    <t xml:space="preserve">Expected Recovery SDR</t>
  </si>
  <si>
    <t xml:space="preserve">Subordinated debt rating - recovery rate</t>
  </si>
  <si>
    <t xml:space="preserve">$C$57</t>
  </si>
  <si>
    <t xml:space="preserve">Apricot Topco Limited</t>
  </si>
  <si>
    <t xml:space="preserve">[Scope-adjusted interests]_Interest subordinated (hybrid) debt</t>
  </si>
  <si>
    <t xml:space="preserve">FRP_Scopeadjustedinterests_INTEREST_HYBRID_DEBT</t>
  </si>
  <si>
    <t xml:space="preserve">$D$59</t>
  </si>
  <si>
    <t xml:space="preserve">ExpectedRecoverySHDR</t>
  </si>
  <si>
    <t xml:space="preserve">Expected Recovery SHDR</t>
  </si>
  <si>
    <t xml:space="preserve">Subordinated (hybrid) rating - recovery rate</t>
  </si>
  <si>
    <t xml:space="preserve">$C$59</t>
  </si>
  <si>
    <t xml:space="preserve">Aranynektar Kft</t>
  </si>
  <si>
    <t xml:space="preserve">[Scope-adjusted debt (SaD)]_Restricted cash</t>
  </si>
  <si>
    <t xml:space="preserve">FRP_Scopeadjusteddebt_RESTRICTED_CASH</t>
  </si>
  <si>
    <t xml:space="preserve">$D$49</t>
  </si>
  <si>
    <t xml:space="preserve">InternallyProvidedLiquidityCover</t>
  </si>
  <si>
    <t xml:space="preserve">"=ShortTermDebtRatingCriteriaList"</t>
  </si>
  <si>
    <t xml:space="preserve">Internally provided liquidity cover</t>
  </si>
  <si>
    <t xml:space="preserve">$C$49</t>
  </si>
  <si>
    <t xml:space="preserve">ARKEMA SA</t>
  </si>
  <si>
    <t xml:space="preserve">[Liquidity]_Restricted cash (t-1)</t>
  </si>
  <si>
    <t xml:space="preserve">FRP_Liquidity_RESTRICTED_CASH_t-1</t>
  </si>
  <si>
    <t xml:space="preserve">$D$50</t>
  </si>
  <si>
    <t xml:space="preserve">InternallyAndExternallyProvidedLiquidityCover</t>
  </si>
  <si>
    <t xml:space="preserve">Internally and externally provided liquidity cover</t>
  </si>
  <si>
    <t xml:space="preserve">$C$50</t>
  </si>
  <si>
    <t xml:space="preserve">Arva AS</t>
  </si>
  <si>
    <t xml:space="preserve">$D$51</t>
  </si>
  <si>
    <t xml:space="preserve">BankingRelationshipsAndStandingInTheCapitalMarkets</t>
  </si>
  <si>
    <t xml:space="preserve">Banking relationships and standing in the capital markets</t>
  </si>
  <si>
    <t xml:space="preserve">$C$51</t>
  </si>
  <si>
    <t xml:space="preserve">ASML HOLDING NV</t>
  </si>
  <si>
    <t xml:space="preserve">$D$3</t>
  </si>
  <si>
    <t xml:space="preserve">CorporateSector</t>
  </si>
  <si>
    <t xml:space="preserve">"=CorporateSectorList"</t>
  </si>
  <si>
    <t xml:space="preserve">Corporate sector</t>
  </si>
  <si>
    <t xml:space="preserve">$C$3</t>
  </si>
  <si>
    <t xml:space="preserve">ASTM SPA</t>
  </si>
  <si>
    <t xml:space="preserve">$D$10</t>
  </si>
  <si>
    <t xml:space="preserve">SegmentationCriteria</t>
  </si>
  <si>
    <t xml:space="preserve">"=SegmentationCriteriaList"</t>
  </si>
  <si>
    <t xml:space="preserve">Segmentation criteria</t>
  </si>
  <si>
    <t xml:space="preserve">$C$10</t>
  </si>
  <si>
    <t xml:space="preserve">AstraZeneca plc</t>
  </si>
  <si>
    <t xml:space="preserve">$D$9</t>
  </si>
  <si>
    <t xml:space="preserve">IndustryWeight1</t>
  </si>
  <si>
    <t xml:space="preserve">"=IndustryWeightList"</t>
  </si>
  <si>
    <t xml:space="preserve">Industry weight1</t>
  </si>
  <si>
    <t xml:space="preserve">Industry weight</t>
  </si>
  <si>
    <t xml:space="preserve">$C$9</t>
  </si>
  <si>
    <t xml:space="preserve">ATEA ASA</t>
  </si>
  <si>
    <t xml:space="preserve">$E$9</t>
  </si>
  <si>
    <t xml:space="preserve">IndustryWeight2</t>
  </si>
  <si>
    <t xml:space="preserve">Industry weight2</t>
  </si>
  <si>
    <t xml:space="preserve">ATLANTIC RICHFIELD CO</t>
  </si>
  <si>
    <t xml:space="preserve">$F$9</t>
  </si>
  <si>
    <t xml:space="preserve">IndustryWeight3</t>
  </si>
  <si>
    <t xml:space="preserve">Industry weight3</t>
  </si>
  <si>
    <t xml:space="preserve">Atlas HoldCo 3 Ltd.</t>
  </si>
  <si>
    <t xml:space="preserve">$G$9</t>
  </si>
  <si>
    <t xml:space="preserve">IndustryWeight4</t>
  </si>
  <si>
    <t xml:space="preserve">Industry weight4</t>
  </si>
  <si>
    <t xml:space="preserve">AUDAX RENOVABLES SA</t>
  </si>
  <si>
    <t xml:space="preserve">$H$9</t>
  </si>
  <si>
    <t xml:space="preserve">IndustryWeight5</t>
  </si>
  <si>
    <t xml:space="preserve">Industry weight5</t>
  </si>
  <si>
    <t xml:space="preserve">Auplata S.A.</t>
  </si>
  <si>
    <t xml:space="preserve">$I$9</t>
  </si>
  <si>
    <t xml:space="preserve">IndustryWeight6</t>
  </si>
  <si>
    <t xml:space="preserve">Industry weight6</t>
  </si>
  <si>
    <t xml:space="preserve">AutoWallis Nyrt.</t>
  </si>
  <si>
    <t xml:space="preserve">$J$9</t>
  </si>
  <si>
    <t xml:space="preserve">IndustryWeight7</t>
  </si>
  <si>
    <t xml:space="preserve">Industry weight7</t>
  </si>
  <si>
    <t xml:space="preserve">AVECO Holding Aktiengesellschaft</t>
  </si>
  <si>
    <t xml:space="preserve">$D$184</t>
  </si>
  <si>
    <t xml:space="preserve">Subfactor1_1</t>
  </si>
  <si>
    <t xml:space="preserve">AVINOR AS</t>
  </si>
  <si>
    <t xml:space="preserve">$E$184</t>
  </si>
  <si>
    <t xml:space="preserve">Subfactor1_2</t>
  </si>
  <si>
    <t xml:space="preserve">AX VI INV4 Holding ApS</t>
  </si>
  <si>
    <t xml:space="preserve">$F$184</t>
  </si>
  <si>
    <t xml:space="preserve">Subfactor1_3</t>
  </si>
  <si>
    <t xml:space="preserve">AXIAL Javito, Kereskedelmi es Szolgaltato Kft</t>
  </si>
  <si>
    <t xml:space="preserve">$G$184</t>
  </si>
  <si>
    <t xml:space="preserve">Subfactor1_4</t>
  </si>
  <si>
    <t xml:space="preserve">Axpo Holding AG</t>
  </si>
  <si>
    <t xml:space="preserve">$H$184</t>
  </si>
  <si>
    <t xml:space="preserve">Subfactor1_5</t>
  </si>
  <si>
    <t xml:space="preserve">Axpo International SA</t>
  </si>
  <si>
    <t xml:space="preserve">$I$184</t>
  </si>
  <si>
    <t xml:space="preserve">Subfactor1_6</t>
  </si>
  <si>
    <t xml:space="preserve">B+N Referencia Zrt.</t>
  </si>
  <si>
    <t xml:space="preserve">$D$206</t>
  </si>
  <si>
    <t xml:space="preserve">Subfactor2_1</t>
  </si>
  <si>
    <t xml:space="preserve">Baduhenna Bidco Limited</t>
  </si>
  <si>
    <t xml:space="preserve">$E$206</t>
  </si>
  <si>
    <t xml:space="preserve">Subfactor2_2</t>
  </si>
  <si>
    <t xml:space="preserve">Baromfi Coop KFT</t>
  </si>
  <si>
    <t xml:space="preserve">$F$206</t>
  </si>
  <si>
    <t xml:space="preserve">Subfactor2_3</t>
  </si>
  <si>
    <t xml:space="preserve">BASF Finance Europe N.V.</t>
  </si>
  <si>
    <t xml:space="preserve">$G$206</t>
  </si>
  <si>
    <t xml:space="preserve">Subfactor2_4</t>
  </si>
  <si>
    <t xml:space="preserve">BASF SE</t>
  </si>
  <si>
    <t xml:space="preserve">$H$206</t>
  </si>
  <si>
    <t xml:space="preserve">Subfactor2_5</t>
  </si>
  <si>
    <t xml:space="preserve">Bayer AG</t>
  </si>
  <si>
    <t xml:space="preserve">$I$206</t>
  </si>
  <si>
    <t xml:space="preserve">Subfactor2_6</t>
  </si>
  <si>
    <t xml:space="preserve">BAYER CAPITAL CORPORATION BV</t>
  </si>
  <si>
    <t xml:space="preserve">$D$228</t>
  </si>
  <si>
    <t xml:space="preserve">Subfactor3_1</t>
  </si>
  <si>
    <t xml:space="preserve">BAYER CONSTRUCT Zrt</t>
  </si>
  <si>
    <t xml:space="preserve">$E$228</t>
  </si>
  <si>
    <t xml:space="preserve">Subfactor3_2</t>
  </si>
  <si>
    <t xml:space="preserve">BAYER HOLDING LTD</t>
  </si>
  <si>
    <t xml:space="preserve">$F$228</t>
  </si>
  <si>
    <t xml:space="preserve">Subfactor3_3</t>
  </si>
  <si>
    <t xml:space="preserve">BAYER US FINANCE II LLC</t>
  </si>
  <si>
    <t xml:space="preserve">$G$228</t>
  </si>
  <si>
    <t xml:space="preserve">Subfactor3_4</t>
  </si>
  <si>
    <t xml:space="preserve">BAYER US FINANCE LLC</t>
  </si>
  <si>
    <t xml:space="preserve">$H$228</t>
  </si>
  <si>
    <t xml:space="preserve">Subfactor3_5</t>
  </si>
  <si>
    <t xml:space="preserve">Bayerische Motoren Werke Aktiengesellschaft</t>
  </si>
  <si>
    <t xml:space="preserve">Subfactor3_6</t>
  </si>
  <si>
    <t xml:space="preserve">BCM Zweite Beteiligungs GmbH</t>
  </si>
  <si>
    <t xml:space="preserve">$D$250</t>
  </si>
  <si>
    <t xml:space="preserve">Subfactor4_1</t>
  </si>
  <si>
    <t xml:space="preserve">Beno Holding AG</t>
  </si>
  <si>
    <t xml:space="preserve">$E$250</t>
  </si>
  <si>
    <t xml:space="preserve">Subfactor4_2</t>
  </si>
  <si>
    <t xml:space="preserve">BERTELSMANN SE &amp; CO KGAA</t>
  </si>
  <si>
    <t xml:space="preserve">$F$250</t>
  </si>
  <si>
    <t xml:space="preserve">Subfactor4_3</t>
  </si>
  <si>
    <t xml:space="preserve">Best in Parking &amp; Real Estate AG</t>
  </si>
  <si>
    <t xml:space="preserve">$G$250</t>
  </si>
  <si>
    <t xml:space="preserve">Subfactor4_4</t>
  </si>
  <si>
    <t xml:space="preserve">BEST IN PARKING KONZERNFINANZIERUNGS GMBH</t>
  </si>
  <si>
    <t xml:space="preserve">$H$250</t>
  </si>
  <si>
    <t xml:space="preserve">Subfactor4_5</t>
  </si>
  <si>
    <t xml:space="preserve">BHS Trans Kft</t>
  </si>
  <si>
    <t xml:space="preserve">Subfactor4_6</t>
  </si>
  <si>
    <t xml:space="preserve">Biggeorge Property Zrt</t>
  </si>
  <si>
    <t xml:space="preserve">$D$272</t>
  </si>
  <si>
    <t xml:space="preserve">Subfactor5_1</t>
  </si>
  <si>
    <t xml:space="preserve">Bikeleasing-Service GmbH &amp; Co. KG</t>
  </si>
  <si>
    <t xml:space="preserve">$E$272</t>
  </si>
  <si>
    <t xml:space="preserve">Subfactor5_2</t>
  </si>
  <si>
    <t xml:space="preserve">BioDue S.p.A.</t>
  </si>
  <si>
    <t xml:space="preserve">$F$272</t>
  </si>
  <si>
    <t xml:space="preserve">Subfactor5_3</t>
  </si>
  <si>
    <t xml:space="preserve">BioEnergie Taufkirchen GmbH &amp; Co. KG</t>
  </si>
  <si>
    <t xml:space="preserve">$G$272</t>
  </si>
  <si>
    <t xml:space="preserve">Subfactor5_4</t>
  </si>
  <si>
    <t xml:space="preserve">BioMa Energie AG Kraftwerkepool AG</t>
  </si>
  <si>
    <t xml:space="preserve">$H$272</t>
  </si>
  <si>
    <t xml:space="preserve">Subfactor5_5</t>
  </si>
  <si>
    <t xml:space="preserve">$I$272</t>
  </si>
  <si>
    <t xml:space="preserve">Subfactor5_6</t>
  </si>
  <si>
    <t xml:space="preserve">BK Group AG</t>
  </si>
  <si>
    <t xml:space="preserve">$D$186</t>
  </si>
  <si>
    <t xml:space="preserve">SubSubfactor_1</t>
  </si>
  <si>
    <t xml:space="preserve">BKW AG</t>
  </si>
  <si>
    <t xml:space="preserve">$D$190</t>
  </si>
  <si>
    <t xml:space="preserve">SubSubfactor_2</t>
  </si>
  <si>
    <t xml:space="preserve">BLS Beteiligungs GmbH</t>
  </si>
  <si>
    <t xml:space="preserve">$D$194</t>
  </si>
  <si>
    <t xml:space="preserve">SubSubfactor_3</t>
  </si>
  <si>
    <t xml:space="preserve">BMW CANADA INC</t>
  </si>
  <si>
    <t xml:space="preserve">$D$198</t>
  </si>
  <si>
    <t xml:space="preserve">SubSubfactor_4</t>
  </si>
  <si>
    <t xml:space="preserve">BMW FINANCE NV</t>
  </si>
  <si>
    <t xml:space="preserve">$D$202</t>
  </si>
  <si>
    <t xml:space="preserve">SubSubfactor_5</t>
  </si>
  <si>
    <t xml:space="preserve">BMW INTERNATIONAL INVESTMENT BV</t>
  </si>
  <si>
    <t xml:space="preserve">$D$208</t>
  </si>
  <si>
    <t xml:space="preserve">SubSubfactor_6</t>
  </si>
  <si>
    <t xml:space="preserve">BMW JAPAN FINANCE CORP</t>
  </si>
  <si>
    <t xml:space="preserve">$D$212</t>
  </si>
  <si>
    <t xml:space="preserve">SubSubfactor_7</t>
  </si>
  <si>
    <t xml:space="preserve">BMW US CAPITAL LLC</t>
  </si>
  <si>
    <t xml:space="preserve">$D$216</t>
  </si>
  <si>
    <t xml:space="preserve">SubSubfactor_8</t>
  </si>
  <si>
    <t xml:space="preserve">Bonafarm Zrt.</t>
  </si>
  <si>
    <t xml:space="preserve">$D$220</t>
  </si>
  <si>
    <t xml:space="preserve">SubSubfactor_9</t>
  </si>
  <si>
    <t xml:space="preserve">BORREGAARD ASA</t>
  </si>
  <si>
    <t xml:space="preserve">$D$224</t>
  </si>
  <si>
    <t xml:space="preserve">SubSubfactor_10</t>
  </si>
  <si>
    <t xml:space="preserve">BP CAPITAL MARKETS AMERICA INC</t>
  </si>
  <si>
    <t xml:space="preserve">$D$230</t>
  </si>
  <si>
    <t xml:space="preserve">SubSubfactor_11</t>
  </si>
  <si>
    <t xml:space="preserve">BP CAPITAL MARKETS PLC</t>
  </si>
  <si>
    <t xml:space="preserve">$D$234</t>
  </si>
  <si>
    <t xml:space="preserve">SubSubfactor_12</t>
  </si>
  <si>
    <t xml:space="preserve">BP PLC</t>
  </si>
  <si>
    <t xml:space="preserve">$D$238</t>
  </si>
  <si>
    <t xml:space="preserve">SubSubfactor_13</t>
  </si>
  <si>
    <t xml:space="preserve">BPOST SA</t>
  </si>
  <si>
    <t xml:space="preserve">$D$242</t>
  </si>
  <si>
    <t xml:space="preserve">SubSubfactor_14</t>
  </si>
  <si>
    <t xml:space="preserve">Brandbev S.a r.l.</t>
  </si>
  <si>
    <t xml:space="preserve">$D$246</t>
  </si>
  <si>
    <t xml:space="preserve">SubSubfactor_15</t>
  </si>
  <si>
    <t xml:space="preserve">Brandbrew S.A.</t>
  </si>
  <si>
    <t xml:space="preserve">$D$252</t>
  </si>
  <si>
    <t xml:space="preserve">SubSubfactor_16</t>
  </si>
  <si>
    <t xml:space="preserve">Bravogroup Holding Kft</t>
  </si>
  <si>
    <t xml:space="preserve">$D$256</t>
  </si>
  <si>
    <t xml:space="preserve">SubSubfactor_17</t>
  </si>
  <si>
    <t xml:space="preserve">BRISA CONCESSAO RODOVIARIA SA</t>
  </si>
  <si>
    <t xml:space="preserve">$D$260</t>
  </si>
  <si>
    <t xml:space="preserve">SubSubfactor_18</t>
  </si>
  <si>
    <t xml:space="preserve">BRITISH TELECOMMUNICATIONS PLC</t>
  </si>
  <si>
    <t xml:space="preserve">$D$264</t>
  </si>
  <si>
    <t xml:space="preserve">SubSubfactor_19</t>
  </si>
  <si>
    <t xml:space="preserve">BRUSSELS AIRPORT COMPANY S.A.</t>
  </si>
  <si>
    <t xml:space="preserve">$D$268</t>
  </si>
  <si>
    <t xml:space="preserve">SubSubfactor_20</t>
  </si>
  <si>
    <t xml:space="preserve">Budapesti Ingatlan Nyrt.</t>
  </si>
  <si>
    <t xml:space="preserve">$D$274</t>
  </si>
  <si>
    <t xml:space="preserve">SubSubfactor_21</t>
  </si>
  <si>
    <t xml:space="preserve">Caledonia Lion Limited</t>
  </si>
  <si>
    <t xml:space="preserve">$D$278</t>
  </si>
  <si>
    <t xml:space="preserve">SubSubfactor_22</t>
  </si>
  <si>
    <t xml:space="preserve">CargoBeamer AG</t>
  </si>
  <si>
    <t xml:space="preserve">$D$282</t>
  </si>
  <si>
    <t xml:space="preserve">SubSubfactor_23</t>
  </si>
  <si>
    <t xml:space="preserve">CARLSBERG A/S</t>
  </si>
  <si>
    <t xml:space="preserve">$D$286</t>
  </si>
  <si>
    <t xml:space="preserve">SubSubfactor_24</t>
  </si>
  <si>
    <t xml:space="preserve">CARLSBERG BREWERIES A/S</t>
  </si>
  <si>
    <t xml:space="preserve">$D$290</t>
  </si>
  <si>
    <t xml:space="preserve">SubSubfactor_25</t>
  </si>
  <si>
    <t xml:space="preserve">Cartonplast Holding GmbH</t>
  </si>
  <si>
    <t xml:space="preserve">CASINO GUICHARD PERRACHON SA</t>
  </si>
  <si>
    <t xml:space="preserve">CECONOMY AG</t>
  </si>
  <si>
    <t xml:space="preserve">Cerbona Élelmiszergyártó Kft.</t>
  </si>
  <si>
    <t xml:space="preserve">CETIN a.s.</t>
  </si>
  <si>
    <t xml:space="preserve">CETIN FINANCE BV</t>
  </si>
  <si>
    <t xml:space="preserve">CEZ AS</t>
  </si>
  <si>
    <t xml:space="preserve">CEZ Finance B.V.</t>
  </si>
  <si>
    <t xml:space="preserve">Childcare B.V.</t>
  </si>
  <si>
    <t xml:space="preserve">Chime Finance Ltd</t>
  </si>
  <si>
    <t xml:space="preserve">CLA Pig Kft.</t>
  </si>
  <si>
    <t xml:space="preserve">CLS Holdings plc</t>
  </si>
  <si>
    <t xml:space="preserve">Cobrew</t>
  </si>
  <si>
    <t xml:space="preserve">Codic Group (cons.)</t>
  </si>
  <si>
    <t xml:space="preserve">Color Pack Zrt</t>
  </si>
  <si>
    <t xml:space="preserve">Communication Technologies Kft</t>
  </si>
  <si>
    <t xml:space="preserve">COMPACTOR FASTIGHETER AB</t>
  </si>
  <si>
    <t xml:space="preserve">COMPAGNIE FINANCIERE ET DE PARTICIPATIONS ROULLIER</t>
  </si>
  <si>
    <t xml:space="preserve">Compagnie Financiere Michelin SA</t>
  </si>
  <si>
    <t xml:space="preserve">Compagnie Financière Michelin Suisse SA</t>
  </si>
  <si>
    <t xml:space="preserve">COMPAGNIE GENERALE DES ETABLISSEMENTS MICHELIN SCA</t>
  </si>
  <si>
    <t xml:space="preserve">CORDIA INTERNATIONAL Zrt.</t>
  </si>
  <si>
    <t xml:space="preserve">COREM KELLY AB</t>
  </si>
  <si>
    <t xml:space="preserve">COREM PROPERTY GROUP AB</t>
  </si>
  <si>
    <t xml:space="preserve">COVESTRO AG</t>
  </si>
  <si>
    <t xml:space="preserve">Criteria Caixa S.A.U.</t>
  </si>
  <si>
    <t xml:space="preserve">Crown Holding Kft.</t>
  </si>
  <si>
    <t xml:space="preserve">CSABAcast Kft</t>
  </si>
  <si>
    <t xml:space="preserve">Curata Care Holding GmbH</t>
  </si>
  <si>
    <t xml:space="preserve">CYTEC INDUSTRIES INC</t>
  </si>
  <si>
    <t xml:space="preserve">Daniella Kft</t>
  </si>
  <si>
    <t xml:space="preserve">DANONE SA</t>
  </si>
  <si>
    <t xml:space="preserve">DB NEXT SAS</t>
  </si>
  <si>
    <t xml:space="preserve">Deister-Süntel-Klinik GmbH</t>
  </si>
  <si>
    <t xml:space="preserve">DELHAIZE AMERICA LLC</t>
  </si>
  <si>
    <t xml:space="preserve">DELL INTERNATIONAL LLC</t>
  </si>
  <si>
    <t xml:space="preserve">DELL TECHNOLOGIES INC</t>
  </si>
  <si>
    <t xml:space="preserve">Delta Air Lines, Inc.</t>
  </si>
  <si>
    <t xml:space="preserve">DermaStars HoldCo GmbH</t>
  </si>
  <si>
    <t xml:space="preserve">DEUTSCHE BAHN AG</t>
  </si>
  <si>
    <t xml:space="preserve">DEUTSCHE BAHN FINANCE GMBH</t>
  </si>
  <si>
    <t xml:space="preserve">DEUTSCHE INDUSTRIE REIT-AG</t>
  </si>
  <si>
    <t xml:space="preserve">DEUTSCHE KONSUM REIT AG</t>
  </si>
  <si>
    <t xml:space="preserve">Deutsche Lufthansa AG</t>
  </si>
  <si>
    <t xml:space="preserve">DEUTSCHE POST AG</t>
  </si>
  <si>
    <t xml:space="preserve">DEUTSCHE POST FINANCE BV</t>
  </si>
  <si>
    <t xml:space="preserve">Deutsche Reihenhaus AG</t>
  </si>
  <si>
    <t xml:space="preserve">DEUTSCHE TELEKOM AG</t>
  </si>
  <si>
    <t xml:space="preserve">DEUTSCHE TELEKOM INTERNATIONAL FINANCE BV</t>
  </si>
  <si>
    <t xml:space="preserve">DF Deutsche Forfait AG (kons)</t>
  </si>
  <si>
    <t xml:space="preserve">DFDS AS</t>
  </si>
  <si>
    <t xml:space="preserve">DIC ASSET AG</t>
  </si>
  <si>
    <t xml:space="preserve">DISTRIBUIDORA INTERNACIONAL DE ALIMENTACION SA</t>
  </si>
  <si>
    <t xml:space="preserve">DNV GROUP AS</t>
  </si>
  <si>
    <t xml:space="preserve">Doc Bidco Limited</t>
  </si>
  <si>
    <t xml:space="preserve">Doctor Placement GmbH</t>
  </si>
  <si>
    <t xml:space="preserve">Dogado GmbH</t>
  </si>
  <si>
    <t xml:space="preserve">Dömper Kft</t>
  </si>
  <si>
    <t xml:space="preserve">DSM-FIRMENICH AG</t>
  </si>
  <si>
    <t xml:space="preserve">Duna House Holding Nyrt</t>
  </si>
  <si>
    <t xml:space="preserve">DVM GROUP KFT</t>
  </si>
  <si>
    <t xml:space="preserve">EASYJET FINCO BV</t>
  </si>
  <si>
    <t xml:space="preserve">EASYJET PLC</t>
  </si>
  <si>
    <t xml:space="preserve">ECOMMERCE ONE AcquiCo GmbH</t>
  </si>
  <si>
    <t xml:space="preserve">EESTI ENERGIA AS</t>
  </si>
  <si>
    <t xml:space="preserve">Egide S.A. (cons.)</t>
  </si>
  <si>
    <t xml:space="preserve">EGROUP HOLDING GMBH</t>
  </si>
  <si>
    <t xml:space="preserve">Eidsiva Energi AS</t>
  </si>
  <si>
    <t xml:space="preserve">Eiffage SA</t>
  </si>
  <si>
    <t xml:space="preserve">Eisenwerk Hasenclever &amp; Sohn GmbH</t>
  </si>
  <si>
    <t xml:space="preserve">ELECTRICITE DE FRANCE</t>
  </si>
  <si>
    <t xml:space="preserve">Elements Holding GmbH</t>
  </si>
  <si>
    <t xml:space="preserve">ELERING AS</t>
  </si>
  <si>
    <t xml:space="preserve">ELIA GROUP SA</t>
  </si>
  <si>
    <t xml:space="preserve">ELIA TRANSMISSION BELGIUM NV</t>
  </si>
  <si>
    <t xml:space="preserve">ELISA OYJ</t>
  </si>
  <si>
    <t xml:space="preserve">ELKEM ASA</t>
  </si>
  <si>
    <t xml:space="preserve">ELO SA</t>
  </si>
  <si>
    <t xml:space="preserve">Elso Pesti Malom- és Sütoipari Zártköruen Muködo Részvénytársaság</t>
  </si>
  <si>
    <t xml:space="preserve">ÉLTEX Kereskedelmi és Fuvarozó Kft.</t>
  </si>
  <si>
    <t xml:space="preserve">EMC CORP</t>
  </si>
  <si>
    <t xml:space="preserve">EMD Finance LLC</t>
  </si>
  <si>
    <t xml:space="preserve">Encavis AG</t>
  </si>
  <si>
    <t xml:space="preserve">ENCAVIS FINANCE BV</t>
  </si>
  <si>
    <t xml:space="preserve">ENEL FINANCE INTERNATIONAL NV</t>
  </si>
  <si>
    <t xml:space="preserve">ENEL SPA</t>
  </si>
  <si>
    <t xml:space="preserve">ENERGIE AG OBEROESTERREICH</t>
  </si>
  <si>
    <t xml:space="preserve">ENEXIS HOLDING NV</t>
  </si>
  <si>
    <t xml:space="preserve">ENGIE ALLIANCE GIE</t>
  </si>
  <si>
    <t xml:space="preserve">ENGIE SA</t>
  </si>
  <si>
    <t xml:space="preserve">Engine Holding LLC</t>
  </si>
  <si>
    <t xml:space="preserve">ENI FINANCE INTERNATIONAL SA</t>
  </si>
  <si>
    <t xml:space="preserve">ENI SPA</t>
  </si>
  <si>
    <t xml:space="preserve">ENI USA INC</t>
  </si>
  <si>
    <t xml:space="preserve">ENSI Kft.</t>
  </si>
  <si>
    <t xml:space="preserve">Envien International Ltd</t>
  </si>
  <si>
    <t xml:space="preserve">Envien Magyarorszag Kft</t>
  </si>
  <si>
    <t xml:space="preserve">EPKAR Zrt</t>
  </si>
  <si>
    <t xml:space="preserve">EQUINOR ASA</t>
  </si>
  <si>
    <t xml:space="preserve">ESSELUNGA SPA</t>
  </si>
  <si>
    <t xml:space="preserve">EUROBODEN GmbH</t>
  </si>
  <si>
    <t xml:space="preserve">EVINY AS</t>
  </si>
  <si>
    <t xml:space="preserve">EVN AG</t>
  </si>
  <si>
    <t xml:space="preserve">EVONIK FINANCE BV</t>
  </si>
  <si>
    <t xml:space="preserve">EVONIK INDUSTRIES AG</t>
  </si>
  <si>
    <t xml:space="preserve">EXOR NV</t>
  </si>
  <si>
    <t xml:space="preserve">EYEMAXX REAL ESTATE AG</t>
  </si>
  <si>
    <t xml:space="preserve">Falkensteiner Michaeler Tourism Group AG</t>
  </si>
  <si>
    <t xml:space="preserve">FASTIGHETS AB BALDER</t>
  </si>
  <si>
    <t xml:space="preserve">FASTPARTNER AB</t>
  </si>
  <si>
    <t xml:space="preserve">FCR IMMOBILIEN AG</t>
  </si>
  <si>
    <t xml:space="preserve">FELLESKJOPET AGRI SA</t>
  </si>
  <si>
    <t xml:space="preserve">FERROPATENT Zrt.</t>
  </si>
  <si>
    <t xml:space="preserve">FERROVIAL EMISIONES SA</t>
  </si>
  <si>
    <t xml:space="preserve">FERROVIAL NETHERLANDS BV</t>
  </si>
  <si>
    <t xml:space="preserve">FERROVIAL SA</t>
  </si>
  <si>
    <t xml:space="preserve">FERROVIAL SE</t>
  </si>
  <si>
    <t xml:space="preserve">FINGRID OYJ</t>
  </si>
  <si>
    <t xml:space="preserve">FIRMENICH INTERNATIONAL SA</t>
  </si>
  <si>
    <t xml:space="preserve">FIRMENICH PRODUCTIONS PARTICIPATIONS SAS</t>
  </si>
  <si>
    <t xml:space="preserve">FITOUT Befejező Építő-Szakipari Zártkörűen Működő Részvénytársaság</t>
  </si>
  <si>
    <t xml:space="preserve">FJELLINJEN AS</t>
  </si>
  <si>
    <t xml:space="preserve">FLUXYS BELGIUM NV</t>
  </si>
  <si>
    <t xml:space="preserve">FLUXYS NV</t>
  </si>
  <si>
    <t xml:space="preserve">FNAC DARTY SA</t>
  </si>
  <si>
    <t xml:space="preserve">FORRÁS Vagyonkezelési és Befektetési nyilvánosan működő Részvénytársaság</t>
  </si>
  <si>
    <t xml:space="preserve">Fortum Oyj</t>
  </si>
  <si>
    <t xml:space="preserve">Foster + Partners Group Limited</t>
  </si>
  <si>
    <t xml:space="preserve">Franz Haniel &amp; Cie. GmbH</t>
  </si>
  <si>
    <t xml:space="preserve">FRESENIUS FINANCE IRELAND II PLC</t>
  </si>
  <si>
    <t xml:space="preserve">FRESENIUS FINANCE IRELAND PLC</t>
  </si>
  <si>
    <t xml:space="preserve">FRESENIUS SE &amp; CO KGAA</t>
  </si>
  <si>
    <t xml:space="preserve">FRESENIUS US FINANCE II INC</t>
  </si>
  <si>
    <t xml:space="preserve">Friedola Gebr. Holzapfel GmbH</t>
  </si>
  <si>
    <t xml:space="preserve">Futureal Development Holding Ingatlanforgalmazó Kft</t>
  </si>
  <si>
    <t xml:space="preserve">Futureal Holding B.V.</t>
  </si>
  <si>
    <t xml:space="preserve">GALLFOOD Kft.</t>
  </si>
  <si>
    <t xml:space="preserve">gamigo AG</t>
  </si>
  <si>
    <t xml:space="preserve">GBA Holding GmbH</t>
  </si>
  <si>
    <t xml:space="preserve">GE CAPITAL AUSTRALIA FUNDING PTY LTD</t>
  </si>
  <si>
    <t xml:space="preserve">GE CAPITAL CANADA FUNDING CO</t>
  </si>
  <si>
    <t xml:space="preserve">GE CAPITAL EUROPEAN FUNDING UNLIMITED CO</t>
  </si>
  <si>
    <t xml:space="preserve">GE CAPITAL FRANCHISE FINANCE CORP</t>
  </si>
  <si>
    <t xml:space="preserve">GE CAPITAL FUNDING LLC</t>
  </si>
  <si>
    <t xml:space="preserve">GE Capital Global Holdings, LLC</t>
  </si>
  <si>
    <t xml:space="preserve">GE CAPITAL INTERNATIONAL FUNDING COMPANY UNLIMITED CO</t>
  </si>
  <si>
    <t xml:space="preserve">GE CAPITAL UK FUNDING UNLIMITED CO</t>
  </si>
  <si>
    <t xml:space="preserve">GÉMTECH Kft.</t>
  </si>
  <si>
    <t xml:space="preserve">GENERAL ELECTRIC CO</t>
  </si>
  <si>
    <t xml:space="preserve">Georgian Beer Company JSC</t>
  </si>
  <si>
    <t xml:space="preserve">Georgian Water and Power LLC</t>
  </si>
  <si>
    <t xml:space="preserve">Geothermische Kraftwerksgesellschaft Traunreut mbH</t>
  </si>
  <si>
    <t xml:space="preserve">GLAXOSMITHKLINE CAPITAL INC</t>
  </si>
  <si>
    <t xml:space="preserve">GLAXOSMITHKLINE CAPITAL K.K.</t>
  </si>
  <si>
    <t xml:space="preserve">GLAXOSMITHKLINE CAPITAL PLC</t>
  </si>
  <si>
    <t xml:space="preserve">GlaxoSmithKline plc</t>
  </si>
  <si>
    <t xml:space="preserve">Glitre Energi AS</t>
  </si>
  <si>
    <t xml:space="preserve">GLOBAL BIOENERGIES S.A.</t>
  </si>
  <si>
    <t xml:space="preserve">Global Refuse Holding Zrt.</t>
  </si>
  <si>
    <t xml:space="preserve">GLOBAL SERVICE GmbH</t>
  </si>
  <si>
    <t xml:space="preserve">GLOBE TRADE CENTRE SA</t>
  </si>
  <si>
    <t xml:space="preserve">Gloster Infokommunikációs Zártkörűen Működő Részvénytársaság</t>
  </si>
  <si>
    <t xml:space="preserve">GOPD Plc</t>
  </si>
  <si>
    <t xml:space="preserve">Gossler, Gobert &amp; Wolters Holding GmbH</t>
  </si>
  <si>
    <t xml:space="preserve">Graboplast Padlogyarto Zrt</t>
  </si>
  <si>
    <t xml:space="preserve">Grand City Properties SA</t>
  </si>
  <si>
    <t xml:space="preserve">GREEN NETWORK S.P.A.</t>
  </si>
  <si>
    <t xml:space="preserve">Greenergy Holding Vagyonkezelő Zrt</t>
  </si>
  <si>
    <t xml:space="preserve">GREP Green Public Lighting</t>
  </si>
  <si>
    <t xml:space="preserve">Groupe Capelli SA</t>
  </si>
  <si>
    <t xml:space="preserve">Groupe Homair Vacances (cons.)</t>
  </si>
  <si>
    <t xml:space="preserve">GRUPO ALDESA SA</t>
  </si>
  <si>
    <t xml:space="preserve">GSG GENII Software Group GmbH</t>
  </si>
  <si>
    <t xml:space="preserve">GTC Real Estate Development Hungary Zrt</t>
  </si>
  <si>
    <t xml:space="preserve">GVC George's Venture Capital Zártkörűen Működő Részvénytársaság</t>
  </si>
  <si>
    <t xml:space="preserve">HAFSLUND AS</t>
  </si>
  <si>
    <t xml:space="preserve">Hafslund ECO Vannkraft AS</t>
  </si>
  <si>
    <t xml:space="preserve">Hahn-Immobilien-Beteiligungs AG</t>
  </si>
  <si>
    <t xml:space="preserve">Hammonia Reederei GmbH &amp; Co. KG</t>
  </si>
  <si>
    <t xml:space="preserve">Haniel Finance Deutschland GmbH</t>
  </si>
  <si>
    <t xml:space="preserve">HAUGALAND KRAFT AS</t>
  </si>
  <si>
    <t xml:space="preserve">Heathrow Airport Holdings Limited</t>
  </si>
  <si>
    <t xml:space="preserve">HEATHROW FINANCE PLC</t>
  </si>
  <si>
    <t xml:space="preserve">HEATHROW FUNDING LTD</t>
  </si>
  <si>
    <t xml:space="preserve">HEIDELBERGER DRUCKMASCHINEN AG</t>
  </si>
  <si>
    <t xml:space="preserve">HEIMSTADEN BOSTAD AB</t>
  </si>
  <si>
    <t xml:space="preserve">HEIMSTADEN BOSTAD TREASURY BV</t>
  </si>
  <si>
    <t xml:space="preserve">HEINEKEN NV</t>
  </si>
  <si>
    <t xml:space="preserve">HELGELAND KRAFT AS</t>
  </si>
  <si>
    <t xml:space="preserve">HELL ENERGY Magyarorszag Kft</t>
  </si>
  <si>
    <t xml:space="preserve">HELLA FINANCE INTERNATIONAL BV</t>
  </si>
  <si>
    <t xml:space="preserve">HELLA GMBH &amp; CO KGAA</t>
  </si>
  <si>
    <t xml:space="preserve">HENKEL AG &amp; CO KGAA</t>
  </si>
  <si>
    <t xml:space="preserve">HERA SPA</t>
  </si>
  <si>
    <t xml:space="preserve">Hero HoldCo GmbH</t>
  </si>
  <si>
    <t xml:space="preserve">HGHI Holding GmbH and cons. corporates owned by Dr. Huth („HGHI“)</t>
  </si>
  <si>
    <t xml:space="preserve">Highlight Event and Entertainment AG</t>
  </si>
  <si>
    <t xml:space="preserve">HIKMA FINANCE USA LLC</t>
  </si>
  <si>
    <t xml:space="preserve">Hikma Pharmaceuticals plc</t>
  </si>
  <si>
    <t xml:space="preserve">HILTI AG</t>
  </si>
  <si>
    <t xml:space="preserve">HOERMANN INDUSTRIES GMBH</t>
  </si>
  <si>
    <t xml:space="preserve">HOLCIM AG</t>
  </si>
  <si>
    <t xml:space="preserve">HOLCIM FINANCE LUXEMBOURG SA</t>
  </si>
  <si>
    <t xml:space="preserve">HOLCIM HELVETIA FINANCE AG</t>
  </si>
  <si>
    <t xml:space="preserve">HOLCIM STERLING FINANCE NETHERLANDS BV</t>
  </si>
  <si>
    <t xml:space="preserve">HOLCIM US FINANCE SARL &amp; CIE SCS</t>
  </si>
  <si>
    <t xml:space="preserve">HRWorks Holding GmbH</t>
  </si>
  <si>
    <t xml:space="preserve">Hunland-Trade Kft</t>
  </si>
  <si>
    <t xml:space="preserve">IBERDROLA FINANCE IRELAND DAC</t>
  </si>
  <si>
    <t xml:space="preserve">IBERDROLA FINANZAS SA</t>
  </si>
  <si>
    <t xml:space="preserve">IBERDROLA INTERNATIONAL BV</t>
  </si>
  <si>
    <t xml:space="preserve">Iberdrola S.A.</t>
  </si>
  <si>
    <t xml:space="preserve">Iceman BidCo GmbH</t>
  </si>
  <si>
    <t xml:space="preserve">ILIJA BATLJAN INVEST AB</t>
  </si>
  <si>
    <t xml:space="preserve">Illés Holding Zrt</t>
  </si>
  <si>
    <t xml:space="preserve">IMMOKLES AG</t>
  </si>
  <si>
    <t xml:space="preserve">Impact SA</t>
  </si>
  <si>
    <t xml:space="preserve">INDIGO GROUP S.A.</t>
  </si>
  <si>
    <t xml:space="preserve">INFOGROUP HOLDING KFT</t>
  </si>
  <si>
    <t xml:space="preserve">Infoniqa HR Invest GmbH</t>
  </si>
  <si>
    <t xml:space="preserve">INMOBILIARIA COLONIAL SOCIMI SA</t>
  </si>
  <si>
    <t xml:space="preserve">Inotal Zrt</t>
  </si>
  <si>
    <t xml:space="preserve">INTERGLOBE AVIATION LIMITED</t>
  </si>
  <si>
    <t xml:space="preserve">INTERNATIONAL DISTRIBUTIONS SERVICES PLC</t>
  </si>
  <si>
    <t xml:space="preserve">IREN SPA</t>
  </si>
  <si>
    <t xml:space="preserve">ITK Holding Zrt.</t>
  </si>
  <si>
    <t xml:space="preserve">Jaka Trade Kft</t>
  </si>
  <si>
    <t xml:space="preserve">Jake Holdings Limited</t>
  </si>
  <si>
    <t xml:space="preserve">JSC Evex Hospitals</t>
  </si>
  <si>
    <t xml:space="preserve">JSC Lisi Lake Development</t>
  </si>
  <si>
    <t xml:space="preserve">JSC Nikora</t>
  </si>
  <si>
    <t xml:space="preserve">JSC Nikora Trade</t>
  </si>
  <si>
    <t xml:space="preserve">K+S AG</t>
  </si>
  <si>
    <t xml:space="preserve">K2A KNAUST &amp; ANDERSSON FASTIGHETER AB (PUBL)</t>
  </si>
  <si>
    <t xml:space="preserve">Karlie Group GmbH (kons.)</t>
  </si>
  <si>
    <t xml:space="preserve">Kendallco Ltd.</t>
  </si>
  <si>
    <t xml:space="preserve">KERRY GROUP FINANCIAL SERVICES UNLIMITED CO</t>
  </si>
  <si>
    <t xml:space="preserve">KERRY GROUP PLC</t>
  </si>
  <si>
    <t xml:space="preserve">KESZ HOLDING VALLALKOZASFEJLESZTO ES VAGYONKEZELO ZRT</t>
  </si>
  <si>
    <t xml:space="preserve">KLEPIERRE</t>
  </si>
  <si>
    <t xml:space="preserve">KOMETA 99 Élelmiszeripari Zártkörűen működő Részvénytársaság</t>
  </si>
  <si>
    <t xml:space="preserve">KONINKLIJKE AHOLD DELHAIZE NV</t>
  </si>
  <si>
    <t xml:space="preserve">KONINKLIJKE DSM NV</t>
  </si>
  <si>
    <t xml:space="preserve">KONINKLIJKE KPN NV</t>
  </si>
  <si>
    <t xml:space="preserve">KONINKLIJKE PHILIPS NV</t>
  </si>
  <si>
    <t xml:space="preserve">Kopaszi Gat Zrt.</t>
  </si>
  <si>
    <t xml:space="preserve">LAFARGEHOLCIM FINANCE US LLC</t>
  </si>
  <si>
    <t xml:space="preserve">Lakics Gepgyarto Kft</t>
  </si>
  <si>
    <t xml:space="preserve">LANXESS AG</t>
  </si>
  <si>
    <t xml:space="preserve">LANXESS Finance B.V.</t>
  </si>
  <si>
    <t xml:space="preserve">Laterex Építő Zrt.</t>
  </si>
  <si>
    <t xml:space="preserve">LEG IMMOBILIEN SE</t>
  </si>
  <si>
    <t xml:space="preserve">LEGRAND FRANCE SA</t>
  </si>
  <si>
    <t xml:space="preserve">LEGRAND SA</t>
  </si>
  <si>
    <t xml:space="preserve">Lexholding Zrt</t>
  </si>
  <si>
    <t xml:space="preserve">Liberty Zeta Limited</t>
  </si>
  <si>
    <t xml:space="preserve">Liebherr International AG</t>
  </si>
  <si>
    <t xml:space="preserve">Linde AG</t>
  </si>
  <si>
    <t xml:space="preserve">Linde Finance B.V.</t>
  </si>
  <si>
    <t xml:space="preserve">LINDE INC</t>
  </si>
  <si>
    <t xml:space="preserve">Linde PLC</t>
  </si>
  <si>
    <t xml:space="preserve">LP Portfolio Kft</t>
  </si>
  <si>
    <t xml:space="preserve">LR Global Holding GmbH</t>
  </si>
  <si>
    <t xml:space="preserve">LVMH MOET HENNESSY LOUIS VUITTON SE</t>
  </si>
  <si>
    <t xml:space="preserve">LYB FINANCE COMPANY BV</t>
  </si>
  <si>
    <t xml:space="preserve">LYB INTERNATIONAL FINANCE BV</t>
  </si>
  <si>
    <t xml:space="preserve">LYB INTERNATIONAL FINANCE II BV</t>
  </si>
  <si>
    <t xml:space="preserve">LYB INTERNATIONAL FINANCE III LLC</t>
  </si>
  <si>
    <t xml:space="preserve">LYONDELLBASELL INDUSTRIES NV</t>
  </si>
  <si>
    <t xml:space="preserve">Lyse AS</t>
  </si>
  <si>
    <t xml:space="preserve">Magyar Gomba Kertesz Kft</t>
  </si>
  <si>
    <t xml:space="preserve">Magyar Telekom Nyrt</t>
  </si>
  <si>
    <t xml:space="preserve">Market Építő Zártkörűen Működő Részvénytársaság</t>
  </si>
  <si>
    <t xml:space="preserve">Marso Kft</t>
  </si>
  <si>
    <t xml:space="preserve">Masterplast Nyrt.</t>
  </si>
  <si>
    <t xml:space="preserve">MEDIA Central Holding GmbH</t>
  </si>
  <si>
    <t xml:space="preserve">Menthe Investments S.à r.l.</t>
  </si>
  <si>
    <t xml:space="preserve">Mercedes-Benz Australia/Pacific Pty Ltd</t>
  </si>
  <si>
    <t xml:space="preserve">MERCEDES-BENZ FINANCE CANADA INC</t>
  </si>
  <si>
    <t xml:space="preserve">MERCEDES-BENZ FINANCE NORTH AMERICA LLC</t>
  </si>
  <si>
    <t xml:space="preserve">MERCEDES-BENZ GROUP AG</t>
  </si>
  <si>
    <t xml:space="preserve">MERCEDES-BENZ INTERNATIONAL FINANCE BV</t>
  </si>
  <si>
    <t xml:space="preserve">Mercedes-Benz Japan Co Ltd</t>
  </si>
  <si>
    <t xml:space="preserve">Mercedes-Benz Manufacturing Hungary Korlátolt Felelősségű Társaság</t>
  </si>
  <si>
    <t xml:space="preserve">Merck Financial Services GmbH</t>
  </si>
  <si>
    <t xml:space="preserve">Merck KGaA</t>
  </si>
  <si>
    <t xml:space="preserve">MERLIN PROPERTIES SOCIMI SA</t>
  </si>
  <si>
    <t xml:space="preserve">MET Hungary Solar Park Kft.</t>
  </si>
  <si>
    <t xml:space="preserve">Metal Hungaria Holding</t>
  </si>
  <si>
    <t xml:space="preserve">Metalcorp Group B.V.</t>
  </si>
  <si>
    <t xml:space="preserve">Meter BidCo GmbH</t>
  </si>
  <si>
    <t xml:space="preserve">MetMax Europe Zrt.</t>
  </si>
  <si>
    <t xml:space="preserve">Metrodora S.L.</t>
  </si>
  <si>
    <t xml:space="preserve">METSO OYJ</t>
  </si>
  <si>
    <t xml:space="preserve">MFG BIDCO LIMITED</t>
  </si>
  <si>
    <t xml:space="preserve">MG RE INVEST SA</t>
  </si>
  <si>
    <t xml:space="preserve">MICHELIN LUXEMBOURG SCS</t>
  </si>
  <si>
    <t xml:space="preserve">MITEC Automotive AG</t>
  </si>
  <si>
    <t xml:space="preserve">MMS USA FINANCING INC</t>
  </si>
  <si>
    <t xml:space="preserve">Mobilbox Kontener Kereskedelmi Kft</t>
  </si>
  <si>
    <t xml:space="preserve">MOL GROUP FINANCE SA</t>
  </si>
  <si>
    <t xml:space="preserve">MOL Group Finance Zrt.</t>
  </si>
  <si>
    <t xml:space="preserve">MOL MAGYAR OLAJES GAZIPARI NYRT</t>
  </si>
  <si>
    <t xml:space="preserve">MOLNLYCKE HOLDING AB</t>
  </si>
  <si>
    <t xml:space="preserve">Moneta Midco II Ltd</t>
  </si>
  <si>
    <t xml:space="preserve">MONSANTO CO</t>
  </si>
  <si>
    <t xml:space="preserve">MS Deutschland Beteiligungsgesellschaft</t>
  </si>
  <si>
    <t xml:space="preserve">MUTARES SE &amp; CO KGAA</t>
  </si>
  <si>
    <t xml:space="preserve">Nanjing Chervon Auto Precision Technology Co. Ltd</t>
  </si>
  <si>
    <t xml:space="preserve">NATURTEX Kft</t>
  </si>
  <si>
    <t xml:space="preserve">NE PROPERTY BV</t>
  </si>
  <si>
    <t xml:space="preserve">NEOVA OY</t>
  </si>
  <si>
    <t xml:space="preserve">NEPI ROCKCASTLE PLC</t>
  </si>
  <si>
    <t xml:space="preserve">NEPTUNIA INVEST AB (PUBL)</t>
  </si>
  <si>
    <t xml:space="preserve">NESTLE FINANCE INTERNATIONAL LTD SA</t>
  </si>
  <si>
    <t xml:space="preserve">NESTLE HOLDINGS INC</t>
  </si>
  <si>
    <t xml:space="preserve">NESTLE HUNGARIA KFT</t>
  </si>
  <si>
    <t xml:space="preserve">NESTLE PURINA PETCARE CO</t>
  </si>
  <si>
    <t xml:space="preserve">NESTLE SA</t>
  </si>
  <si>
    <t xml:space="preserve">NETINERA Deutschland GmbH</t>
  </si>
  <si>
    <t xml:space="preserve">NITROGENMUVEK VEGYIPARI ZRT</t>
  </si>
  <si>
    <t xml:space="preserve">NKG Jupiter GmbH</t>
  </si>
  <si>
    <t xml:space="preserve">NORSK HYDRO ASA</t>
  </si>
  <si>
    <t xml:space="preserve">Norwegian Air Shuttle ASA</t>
  </si>
  <si>
    <t xml:space="preserve">NORWEGIAN PROPERTY ASA</t>
  </si>
  <si>
    <t xml:space="preserve">NOS SGPS SA</t>
  </si>
  <si>
    <t xml:space="preserve">Novartis AG</t>
  </si>
  <si>
    <t xml:space="preserve">NOVARTIS CAPITAL CORP</t>
  </si>
  <si>
    <t xml:space="preserve">NOVARTIS FINANCE SA</t>
  </si>
  <si>
    <t xml:space="preserve">NOVARTIS SECURITIES INVESTMENT LTD</t>
  </si>
  <si>
    <t xml:space="preserve">Novo Nordisk A/S</t>
  </si>
  <si>
    <t xml:space="preserve">NOVOMATIC AG</t>
  </si>
  <si>
    <t xml:space="preserve">Oasis Healthcare Midco 2 Limited</t>
  </si>
  <si>
    <t xml:space="preserve">OBOS BBL</t>
  </si>
  <si>
    <t xml:space="preserve">OBOS EIENDOM AS</t>
  </si>
  <si>
    <t xml:space="preserve">OBOTRITIA CAPITAL KGaA</t>
  </si>
  <si>
    <t xml:space="preserve">OERSTED WIND POWER TW HOLDING A/S</t>
  </si>
  <si>
    <t xml:space="preserve">OMV AG</t>
  </si>
  <si>
    <t xml:space="preserve">Ontime Corporate Union S.L.</t>
  </si>
  <si>
    <t xml:space="preserve">Optimum Solar Kft.</t>
  </si>
  <si>
    <t xml:space="preserve">OPUS GLOBAL Nyrt.</t>
  </si>
  <si>
    <t xml:space="preserve">OPUS TIGAZ ZRT</t>
  </si>
  <si>
    <t xml:space="preserve">Ores Assets SC</t>
  </si>
  <si>
    <t xml:space="preserve">Ores SCRL</t>
  </si>
  <si>
    <t xml:space="preserve">ORKLA ASA</t>
  </si>
  <si>
    <t xml:space="preserve">ORLEN CAPITAL AB (PUBL)</t>
  </si>
  <si>
    <t xml:space="preserve">ORSTED A/S</t>
  </si>
  <si>
    <t xml:space="preserve">Ortiz Construcciones y Proyectos S.A.U.</t>
  </si>
  <si>
    <t xml:space="preserve">Otthon Centrum Holding Kft.</t>
  </si>
  <si>
    <t xml:space="preserve">OTTO GMBH &amp; CO KG</t>
  </si>
  <si>
    <t xml:space="preserve">Pannonia Bio Zrt.</t>
  </si>
  <si>
    <t xml:space="preserve">Pannon-Work Zrt.</t>
  </si>
  <si>
    <t xml:space="preserve">Pejoni AB</t>
  </si>
  <si>
    <t xml:space="preserve">PFIZER INC</t>
  </si>
  <si>
    <t xml:space="preserve">Pick Szeged Zrt.</t>
  </si>
  <si>
    <t xml:space="preserve">POLIS Immobilien AG</t>
  </si>
  <si>
    <t xml:space="preserve">POLSKI KONCERN NAFTOWY ORLEN SA</t>
  </si>
  <si>
    <t xml:space="preserve">Porsche Automobil Holding SE</t>
  </si>
  <si>
    <t xml:space="preserve">POSTEN NORGE AS</t>
  </si>
  <si>
    <t xml:space="preserve">POSTNL NV</t>
  </si>
  <si>
    <t xml:space="preserve">PP Digital Marketing AcquiCo GmbH</t>
  </si>
  <si>
    <t xml:space="preserve">PRAXAIR INC</t>
  </si>
  <si>
    <t xml:space="preserve">Premier Lotteries UK Ltd.</t>
  </si>
  <si>
    <t xml:space="preserve">Proform Ingatlanbefektetesi Zrt.</t>
  </si>
  <si>
    <t xml:space="preserve">Progress Étteremhálózat Korlátolt Felelősségű Társaság</t>
  </si>
  <si>
    <t xml:space="preserve">PROSEGUR CASH SA</t>
  </si>
  <si>
    <t xml:space="preserve">PROSEGUR COMPANIA DE SEGURIDAD SA</t>
  </si>
  <si>
    <t xml:space="preserve">PROXIMUS NV</t>
  </si>
  <si>
    <t xml:space="preserve">PUBLICIS GROUPE SA</t>
  </si>
  <si>
    <t xml:space="preserve">Puraglobe Holding GmbH</t>
  </si>
  <si>
    <t xml:space="preserve">Puralube GmbH</t>
  </si>
  <si>
    <t xml:space="preserve">QA-IQ Investments Ltd</t>
  </si>
  <si>
    <t xml:space="preserve">QUALIFORM Zrt.</t>
  </si>
  <si>
    <t xml:space="preserve">Quantel S.A. (cons.)</t>
  </si>
  <si>
    <t xml:space="preserve">QUATRIM SASU</t>
  </si>
  <si>
    <t xml:space="preserve">RAC Bidco Ltd.</t>
  </si>
  <si>
    <t xml:space="preserve">REALITES</t>
  </si>
  <si>
    <t xml:space="preserve">Redwood Holding Kft.</t>
  </si>
  <si>
    <t xml:space="preserve">REF Tents Acquisition GmbH</t>
  </si>
  <si>
    <t xml:space="preserve">Reneszánsz Kőfaragó Zrt</t>
  </si>
  <si>
    <t xml:space="preserve">REPSOL EUROPE FINANCE SARL</t>
  </si>
  <si>
    <t xml:space="preserve">REPSOL INTERNATIONAL FINANCE BV</t>
  </si>
  <si>
    <t xml:space="preserve">REPSOL OIL &amp; GAS CANADA INC</t>
  </si>
  <si>
    <t xml:space="preserve">REPSOL SA</t>
  </si>
  <si>
    <t xml:space="preserve">Richter Gedeon Nyrt.</t>
  </si>
  <si>
    <t xml:space="preserve">Roca Invest</t>
  </si>
  <si>
    <t xml:space="preserve">ROCHE FINANCE EUROPE BV</t>
  </si>
  <si>
    <t xml:space="preserve">Roche Holding AG</t>
  </si>
  <si>
    <t xml:space="preserve">ROCHE HOLDINGS INC</t>
  </si>
  <si>
    <t xml:space="preserve">ROCHE KAPITALMARKT AG</t>
  </si>
  <si>
    <t xml:space="preserve">RODAMCO SVERIGE AB</t>
  </si>
  <si>
    <t xml:space="preserve">Royal Air Maroc S.A.</t>
  </si>
  <si>
    <t xml:space="preserve">RTE RESEAU DE TRANSPORT D ELECTRICITE</t>
  </si>
  <si>
    <t xml:space="preserve">Ryanair DAC</t>
  </si>
  <si>
    <t xml:space="preserve">Ryanair Holdings plc</t>
  </si>
  <si>
    <t xml:space="preserve">Ryanair Ltd</t>
  </si>
  <si>
    <t xml:space="preserve">SAF HOLLAND SE</t>
  </si>
  <si>
    <t xml:space="preserve">SAIPEM FINANCE INTERNATIONAL BV</t>
  </si>
  <si>
    <t xml:space="preserve">SAIPEM SPA</t>
  </si>
  <si>
    <t xml:space="preserve">SAMHALLSBYGGNADSBOLAGET I NORDEN AB</t>
  </si>
  <si>
    <t xml:space="preserve">Sanofi S.A.</t>
  </si>
  <si>
    <t xml:space="preserve">SAP IRELAND US FINANCIAL SERVICES DAC</t>
  </si>
  <si>
    <t xml:space="preserve">SAP SE</t>
  </si>
  <si>
    <t xml:space="preserve">SCHIBSTED ASA</t>
  </si>
  <si>
    <t xml:space="preserve">SCHNEIDER ELECTRIC SE</t>
  </si>
  <si>
    <t xml:space="preserve">Scholz Recycling GmbH</t>
  </si>
  <si>
    <t xml:space="preserve">SECURITY CAPITAL GROUP INC</t>
  </si>
  <si>
    <t xml:space="preserve">SEGRO CAPITAL SARL</t>
  </si>
  <si>
    <t xml:space="preserve">SEGRO PLC</t>
  </si>
  <si>
    <t xml:space="preserve">SHELL INTERNATIONAL FINANCE BV</t>
  </si>
  <si>
    <t xml:space="preserve">SHELL PLC</t>
  </si>
  <si>
    <t xml:space="preserve">SIEMENS AG</t>
  </si>
  <si>
    <t xml:space="preserve">SIEMENS CAPITAL COMPANY LLC</t>
  </si>
  <si>
    <t xml:space="preserve">SIEMENS FINANCIERINGSMAATSCHAPPIJ NV</t>
  </si>
  <si>
    <t xml:space="preserve">SIGNA Prime 2021 S.C.S.</t>
  </si>
  <si>
    <t xml:space="preserve">SIGNA Prime Capital Market GmbH</t>
  </si>
  <si>
    <t xml:space="preserve">SIGNA Prime Capital Market S.C.S.</t>
  </si>
  <si>
    <t xml:space="preserve">SIGNA PRIME CM 2017 GMBH</t>
  </si>
  <si>
    <t xml:space="preserve">SIGNA Prime CM 2019 S.C.S.</t>
  </si>
  <si>
    <t xml:space="preserve">SIGNA Prime Finance 2020 S.C.S.</t>
  </si>
  <si>
    <t xml:space="preserve">SIGNA Prime Green Finance 2021  GmbH &amp; Co. KG</t>
  </si>
  <si>
    <t xml:space="preserve">SIGNA Prime Selection AG</t>
  </si>
  <si>
    <t xml:space="preserve">Silentnight Holdings Limited</t>
  </si>
  <si>
    <t xml:space="preserve">Silver Bidco GmbH</t>
  </si>
  <si>
    <t xml:space="preserve">SkyGreen Buildings Kft</t>
  </si>
  <si>
    <t xml:space="preserve">SMITHS GROUP PLC</t>
  </si>
  <si>
    <t xml:space="preserve">SNAM SPA</t>
  </si>
  <si>
    <t xml:space="preserve">Société C. d. Bois et Scieries de la M.</t>
  </si>
  <si>
    <t xml:space="preserve">SOCIETE FONCIERE LYONNAISE SA</t>
  </si>
  <si>
    <t xml:space="preserve">SoftNext SAS</t>
  </si>
  <si>
    <t xml:space="preserve">SOLVAY FINANCE AMERICA LLC</t>
  </si>
  <si>
    <t xml:space="preserve">SOLVAY FINANCE SA</t>
  </si>
  <si>
    <t xml:space="preserve">SOLVAY SA</t>
  </si>
  <si>
    <t xml:space="preserve">SONOVA HOLDING AG</t>
  </si>
  <si>
    <t xml:space="preserve">SSP Group plc</t>
  </si>
  <si>
    <t xml:space="preserve">Statkraft AS</t>
  </si>
  <si>
    <t xml:space="preserve">STATNETT SF</t>
  </si>
  <si>
    <t xml:space="preserve">Stavmat Építőanyag Kereskedelmi Zrt.</t>
  </si>
  <si>
    <t xml:space="preserve">STEEN &amp; STROM AS</t>
  </si>
  <si>
    <t xml:space="preserve">STELLANTIS FINANCE US INC.</t>
  </si>
  <si>
    <t xml:space="preserve">Stellantis N.V.</t>
  </si>
  <si>
    <t xml:space="preserve">Stern Immobilien AG</t>
  </si>
  <si>
    <t xml:space="preserve">Stronghold Invest AB</t>
  </si>
  <si>
    <t xml:space="preserve">Sumer Group Bidco Limited</t>
  </si>
  <si>
    <t xml:space="preserve">Summus Capital OÜ</t>
  </si>
  <si>
    <t xml:space="preserve">Sun Group Kft</t>
  </si>
  <si>
    <t xml:space="preserve">SunDell Estate Nyrt</t>
  </si>
  <si>
    <t xml:space="preserve">SUNNHORDLAND KRAFTLAG AS</t>
  </si>
  <si>
    <t xml:space="preserve">SUSA PARTNERSHIP LP</t>
  </si>
  <si>
    <t xml:space="preserve">SWISSCOM AG</t>
  </si>
  <si>
    <t xml:space="preserve">SWISSCOM FINANCE BV</t>
  </si>
  <si>
    <t xml:space="preserve">Syngenta AG</t>
  </si>
  <si>
    <t xml:space="preserve">SYNGENTA FINANCE AG</t>
  </si>
  <si>
    <t xml:space="preserve">SYNGENTA FINANCE NV</t>
  </si>
  <si>
    <t xml:space="preserve">Szabo Fogaskerekgyarto Kft</t>
  </si>
  <si>
    <t xml:space="preserve">Szinorg Universal Zrt</t>
  </si>
  <si>
    <t xml:space="preserve">Szirmaterm Kft</t>
  </si>
  <si>
    <t xml:space="preserve">TDF INFRASTRUCTURE SASU</t>
  </si>
  <si>
    <t xml:space="preserve">Tecnocom Group</t>
  </si>
  <si>
    <t xml:space="preserve">Tegeta Motors LLC</t>
  </si>
  <si>
    <t xml:space="preserve">TELE2 AB</t>
  </si>
  <si>
    <t xml:space="preserve">TELEFONICA EMISIONES SAU</t>
  </si>
  <si>
    <t xml:space="preserve">TELEFONICA EUROPE BV</t>
  </si>
  <si>
    <t xml:space="preserve">TELEFONICA SA</t>
  </si>
  <si>
    <t xml:space="preserve">TELEKOM AUSTRIA AG</t>
  </si>
  <si>
    <t xml:space="preserve">TELEKOM FINANZMANAGEMENT GMBH</t>
  </si>
  <si>
    <t xml:space="preserve">TELIA COMPANY AB</t>
  </si>
  <si>
    <t xml:space="preserve">TENNET HOLDING BV</t>
  </si>
  <si>
    <t xml:space="preserve">TENSIO AS</t>
  </si>
  <si>
    <t xml:space="preserve">TEREGA SA</t>
  </si>
  <si>
    <t xml:space="preserve">TERNA RETE ELETTRICA NAZIONALE SPA</t>
  </si>
  <si>
    <t xml:space="preserve">TESCO CORPORATE TREASURY SERVICES PLC</t>
  </si>
  <si>
    <t xml:space="preserve">TESCO PLC</t>
  </si>
  <si>
    <t xml:space="preserve">TEXTURA Zrt</t>
  </si>
  <si>
    <t xml:space="preserve">The Emirates Group</t>
  </si>
  <si>
    <t xml:space="preserve">Tierarzt Plus Finanz GmbH</t>
  </si>
  <si>
    <t xml:space="preserve">TINE SA</t>
  </si>
  <si>
    <t xml:space="preserve">TOMRA SYSTEMS ASA</t>
  </si>
  <si>
    <t xml:space="preserve">Toruk AS</t>
  </si>
  <si>
    <t xml:space="preserve">Total Webhosting Solutions B.V.</t>
  </si>
  <si>
    <t xml:space="preserve">TOTALENERGIES CAPITAL CANADA LTD</t>
  </si>
  <si>
    <t xml:space="preserve">TOTALENERGIES CAPITAL INTERNATIONAL SA</t>
  </si>
  <si>
    <t xml:space="preserve">TOTALENERGIES CAPITAL SA</t>
  </si>
  <si>
    <t xml:space="preserve">TOTALENERGIES SE</t>
  </si>
  <si>
    <t xml:space="preserve">Trans-Sped Logisztikai Szolgáltató Központ Korlátolt Felelősségű Társaság</t>
  </si>
  <si>
    <t xml:space="preserve">Tranzit-Food Kft</t>
  </si>
  <si>
    <t xml:space="preserve">Trellis Investments</t>
  </si>
  <si>
    <t xml:space="preserve">TRONDERENERGI AS</t>
  </si>
  <si>
    <t xml:space="preserve">TSH NETHERLANDS B.V.</t>
  </si>
  <si>
    <t xml:space="preserve">Tungsram Operations Kft.</t>
  </si>
  <si>
    <t xml:space="preserve">TURK HAVA YOLLARI AO</t>
  </si>
  <si>
    <t xml:space="preserve">TV2 Média Csoport Zártkörűen Működő Részvénytársaság</t>
  </si>
  <si>
    <t xml:space="preserve">TWS TH2 B.V.</t>
  </si>
  <si>
    <t xml:space="preserve">UAB “Atsinaujinančios energetikos investicijos“</t>
  </si>
  <si>
    <t xml:space="preserve">UBM Trade Zrt.</t>
  </si>
  <si>
    <t xml:space="preserve">UNIBAIL-RODAMCO-WESTFIELD SE</t>
  </si>
  <si>
    <t xml:space="preserve">Unident AB</t>
  </si>
  <si>
    <t xml:space="preserve">UNILEVER CAPITAL CORP</t>
  </si>
  <si>
    <t xml:space="preserve">UNILEVER FINANCE NETHERLANDS BV</t>
  </si>
  <si>
    <t xml:space="preserve">UNILEVER NV</t>
  </si>
  <si>
    <t xml:space="preserve">UNILEVER PLC</t>
  </si>
  <si>
    <t xml:space="preserve">Unilever United States Inc</t>
  </si>
  <si>
    <t xml:space="preserve">Uniper SE</t>
  </si>
  <si>
    <t xml:space="preserve">Unix Auto Kft.</t>
  </si>
  <si>
    <t xml:space="preserve">Vajda-Papir Kft</t>
  </si>
  <si>
    <t xml:space="preserve">VALEO SE</t>
  </si>
  <si>
    <t xml:space="preserve">Vancouver Midco 2 Ltd.</t>
  </si>
  <si>
    <t xml:space="preserve">Vascular Venture Kft</t>
  </si>
  <si>
    <t xml:space="preserve">Vasútvillamosító Korlátolt Felelősségű Társaság</t>
  </si>
  <si>
    <t xml:space="preserve">Vattenfall AB</t>
  </si>
  <si>
    <t xml:space="preserve">Vedes AG</t>
  </si>
  <si>
    <t xml:space="preserve">Vega-Holding Kft</t>
  </si>
  <si>
    <t xml:space="preserve">VEOLIA ENVIRONNEMENT SA</t>
  </si>
  <si>
    <t xml:space="preserve">Veritasi Homes &amp; Properties Ltd</t>
  </si>
  <si>
    <t xml:space="preserve">VIAVIN Epitoipari Zrt</t>
  </si>
  <si>
    <t xml:space="preserve">Virgin Active Investment Holdings Limited</t>
  </si>
  <si>
    <t xml:space="preserve">Virgin Atlantic Airways Ltd</t>
  </si>
  <si>
    <t xml:space="preserve">Vitens N.V.</t>
  </si>
  <si>
    <t xml:space="preserve">VODAFONE GROUP PLC</t>
  </si>
  <si>
    <t xml:space="preserve">Voith GmbH &amp; Co. KGaA</t>
  </si>
  <si>
    <t xml:space="preserve">VOLKSWAGEN AG</t>
  </si>
  <si>
    <t xml:space="preserve">VOLKSWAGEN FINANCIAL SERVICES AG</t>
  </si>
  <si>
    <t xml:space="preserve">VOLKSWAGEN GROUP OF AMERICA FINANCE LLC</t>
  </si>
  <si>
    <t xml:space="preserve">VOLKSWAGEN INTERNATIONAL BELGIUM SA</t>
  </si>
  <si>
    <t xml:space="preserve">VOLKSWAGEN INTERNATIONAL FINANCE NV</t>
  </si>
  <si>
    <t xml:space="preserve">Volkswagen International Luxemburg S.A.</t>
  </si>
  <si>
    <t xml:space="preserve">Volkswagen Leasing GmbH</t>
  </si>
  <si>
    <t xml:space="preserve">VOLVO AB</t>
  </si>
  <si>
    <t xml:space="preserve">VOLVO TREASURY AB</t>
  </si>
  <si>
    <t xml:space="preserve">Volvo Treasury Australia Pty Ltd</t>
  </si>
  <si>
    <t xml:space="preserve">Volvo Treasury North America L.P.</t>
  </si>
  <si>
    <t xml:space="preserve">VONOVIA FINANCE BV</t>
  </si>
  <si>
    <t xml:space="preserve">VONOVIA SE</t>
  </si>
  <si>
    <t xml:space="preserve">Vöröskö Kft</t>
  </si>
  <si>
    <t xml:space="preserve">VW CREDIT CANADA INC</t>
  </si>
  <si>
    <t xml:space="preserve">VW CREDIT INC</t>
  </si>
  <si>
    <t xml:space="preserve">WABERER'S INTERNATIONAL Nyilvánosan Működő Részvénytársaság</t>
  </si>
  <si>
    <t xml:space="preserve">Wallenborn Adria Wind GmbH</t>
  </si>
  <si>
    <t xml:space="preserve">Waterside A46. Vermögensverwaltungsgesellschaft mbH</t>
  </si>
  <si>
    <t xml:space="preserve">WEA FINANCE LLC</t>
  </si>
  <si>
    <t xml:space="preserve">Wellis Magyarország Zrt</t>
  </si>
  <si>
    <t xml:space="preserve">West Hungaria Bau Kft</t>
  </si>
  <si>
    <t xml:space="preserve">WESTFIELD AMERICA MANAGEMENT LTD</t>
  </si>
  <si>
    <t xml:space="preserve">Westfield UK &amp; Europe Finance Plc.</t>
  </si>
  <si>
    <t xml:space="preserve">WHO’S PERFECT. GmbH &amp; Co. KG</t>
  </si>
  <si>
    <t xml:space="preserve">WINGHOLDING INGATLANFEJLESZTO ES BERUHAZO ZRT</t>
  </si>
  <si>
    <t xml:space="preserve">Wintershall Dea AG</t>
  </si>
  <si>
    <t xml:space="preserve">WINTERSHALL DEA FINANCE 2 BV</t>
  </si>
  <si>
    <t xml:space="preserve">WINTERSHALL DEA FINANCE BV</t>
  </si>
  <si>
    <t xml:space="preserve">WOLTERS KLUWER NV</t>
  </si>
  <si>
    <t xml:space="preserve">Yorkshire Water Services Ltd</t>
  </si>
  <si>
    <t xml:space="preserve">ZALACO Sütőipari Zrt</t>
  </si>
  <si>
    <t xml:space="preserve">Zalando S.E.</t>
  </si>
  <si>
    <t xml:space="preserve">ZGS OpCo GmbH</t>
  </si>
  <si>
    <t xml:space="preserve">Sharepoint URL for ListData and Business RiskProfiles</t>
  </si>
  <si>
    <t xml:space="preserve">https://scopegroup.sharepoint.com/sites/ScopeData/O%20%20Corporates/Database/Lists/Don't_Touch_List_Data_v2.xlsx</t>
  </si>
  <si>
    <t xml:space="preserve">Company identifier</t>
  </si>
  <si>
    <t xml:space="preserve">Company F</t>
  </si>
  <si>
    <t xml:space="preserve">2025E</t>
  </si>
  <si>
    <t xml:space="preserve">2026E</t>
  </si>
  <si>
    <t xml:space="preserve">2027E</t>
  </si>
  <si>
    <t xml:space="preserve">Locked</t>
  </si>
  <si>
    <t xml:space="preserve">No data</t>
  </si>
</sst>
</file>

<file path=xl/styles.xml><?xml version="1.0" encoding="utf-8"?>
<styleSheet xmlns="http://schemas.openxmlformats.org/spreadsheetml/2006/main">
  <numFmts count="9">
    <numFmt numFmtId="164" formatCode="General"/>
    <numFmt numFmtId="165" formatCode="_-* #,##0.00\ _€_-;\-* #,##0.00\ _€_-;_-* \-??\ _€_-;_-@_-"/>
    <numFmt numFmtId="166" formatCode="_-* #,##0.00_-;\-* #,##0.00_-;_-* \-??_-;_-@_-"/>
    <numFmt numFmtId="167" formatCode="* #,##0.00\ ;\-* #,##0.00\ ;* \-#\ ;@\ "/>
    <numFmt numFmtId="168" formatCode="_-* #,##0_)_-;\-* \(#,##0\)_-;_-* \-_)_-;_-@_-"/>
    <numFmt numFmtId="169" formatCode="[$-809]d\ mmm/\ yy;@"/>
    <numFmt numFmtId="170" formatCode="0%"/>
    <numFmt numFmtId="171" formatCode="@"/>
    <numFmt numFmtId="172" formatCode="#,##0.00;\(#,##0.00\);\-"/>
  </numFmts>
  <fonts count="27">
    <font>
      <sz val="11"/>
      <color theme="1"/>
      <name val="Inter"/>
      <family val="2"/>
      <charset val="1"/>
    </font>
    <font>
      <sz val="10"/>
      <name val="Arial"/>
      <family val="0"/>
    </font>
    <font>
      <sz val="10"/>
      <name val="Arial"/>
      <family val="0"/>
    </font>
    <font>
      <sz val="10"/>
      <name val="Arial"/>
      <family val="0"/>
    </font>
    <font>
      <sz val="10"/>
      <color rgb="FF000000"/>
      <name val="Arial"/>
      <family val="2"/>
      <charset val="1"/>
    </font>
    <font>
      <sz val="10"/>
      <name val="Arial Narrow"/>
      <family val="2"/>
      <charset val="1"/>
    </font>
    <font>
      <sz val="11"/>
      <color rgb="FF000000"/>
      <name val="Calibri"/>
      <family val="2"/>
      <charset val="1"/>
    </font>
    <font>
      <sz val="10"/>
      <name val="Arial"/>
      <family val="2"/>
      <charset val="1"/>
    </font>
    <font>
      <sz val="11"/>
      <name val="Aptos Narrow"/>
      <family val="2"/>
      <charset val="1"/>
    </font>
    <font>
      <sz val="8"/>
      <color theme="1"/>
      <name val="Arial"/>
      <family val="2"/>
      <charset val="1"/>
    </font>
    <font>
      <b val="true"/>
      <sz val="8"/>
      <color theme="1"/>
      <name val="Arial"/>
      <family val="2"/>
      <charset val="1"/>
    </font>
    <font>
      <b val="true"/>
      <sz val="8"/>
      <color rgb="FFFF0000"/>
      <name val="Arial"/>
      <family val="2"/>
      <charset val="1"/>
    </font>
    <font>
      <i val="true"/>
      <sz val="8"/>
      <color theme="1"/>
      <name val="Arial"/>
      <family val="2"/>
      <charset val="1"/>
    </font>
    <font>
      <sz val="10"/>
      <name val="Arial"/>
      <family val="2"/>
    </font>
    <font>
      <b val="true"/>
      <sz val="9"/>
      <color theme="1"/>
      <name val="Arial"/>
      <family val="2"/>
      <charset val="1"/>
    </font>
    <font>
      <sz val="9"/>
      <color theme="1"/>
      <name val="Arial"/>
      <family val="2"/>
      <charset val="1"/>
    </font>
    <font>
      <sz val="8"/>
      <color theme="1"/>
      <name val="Inter"/>
      <family val="2"/>
      <charset val="1"/>
    </font>
    <font>
      <u val="single"/>
      <sz val="11"/>
      <color theme="10"/>
      <name val="Inter"/>
      <family val="2"/>
      <charset val="1"/>
    </font>
    <font>
      <b val="true"/>
      <sz val="11"/>
      <color theme="0"/>
      <name val="Arial"/>
      <family val="2"/>
      <charset val="1"/>
    </font>
    <font>
      <sz val="11"/>
      <color theme="1"/>
      <name val="Arial"/>
      <family val="2"/>
      <charset val="1"/>
    </font>
    <font>
      <b val="true"/>
      <sz val="11"/>
      <color theme="1"/>
      <name val="Arial"/>
      <family val="2"/>
      <charset val="1"/>
    </font>
    <font>
      <b val="true"/>
      <sz val="11"/>
      <name val="Arial"/>
      <family val="2"/>
      <charset val="1"/>
    </font>
    <font>
      <b val="true"/>
      <sz val="11"/>
      <color rgb="FFFF0000"/>
      <name val="Arial"/>
      <family val="2"/>
      <charset val="1"/>
    </font>
    <font>
      <i val="true"/>
      <sz val="11"/>
      <color theme="1" tint="0.4999"/>
      <name val="Arial"/>
      <family val="2"/>
      <charset val="1"/>
    </font>
    <font>
      <b val="true"/>
      <sz val="9"/>
      <color rgb="FFFFFFFF"/>
      <name val="Arial"/>
      <family val="2"/>
      <charset val="1"/>
    </font>
    <font>
      <i val="true"/>
      <sz val="10"/>
      <color theme="1"/>
      <name val="Inter"/>
      <family val="0"/>
      <charset val="1"/>
    </font>
    <font>
      <sz val="9"/>
      <color rgb="FF000000"/>
      <name val="Arial"/>
      <family val="2"/>
      <charset val="1"/>
    </font>
  </fonts>
  <fills count="14">
    <fill>
      <patternFill patternType="none"/>
    </fill>
    <fill>
      <patternFill patternType="gray125"/>
    </fill>
    <fill>
      <patternFill patternType="solid">
        <fgColor theme="8" tint="0.7999"/>
        <bgColor rgb="FFF2F2F2"/>
      </patternFill>
    </fill>
    <fill>
      <patternFill patternType="solid">
        <fgColor rgb="FFFF0000"/>
        <bgColor rgb="FF993300"/>
      </patternFill>
    </fill>
    <fill>
      <patternFill patternType="solid">
        <fgColor theme="5"/>
        <bgColor rgb="FF7F7F7F"/>
      </patternFill>
    </fill>
    <fill>
      <patternFill patternType="solid">
        <fgColor theme="9" tint="0.7999"/>
        <bgColor rgb="FFFBF3D9"/>
      </patternFill>
    </fill>
    <fill>
      <patternFill patternType="solid">
        <fgColor theme="0" tint="-0.05"/>
        <bgColor rgb="FFFBF3D9"/>
      </patternFill>
    </fill>
    <fill>
      <patternFill patternType="solid">
        <fgColor rgb="FFFFFF00"/>
        <bgColor rgb="FFFFFF00"/>
      </patternFill>
    </fill>
    <fill>
      <patternFill patternType="solid">
        <fgColor theme="4" tint="0.3999"/>
        <bgColor rgb="FF3366FF"/>
      </patternFill>
    </fill>
    <fill>
      <patternFill patternType="solid">
        <fgColor rgb="FF004D8F"/>
        <bgColor rgb="FF1D3DB3"/>
      </patternFill>
    </fill>
    <fill>
      <patternFill patternType="solid">
        <fgColor rgb="FF001469"/>
        <bgColor rgb="FF000080"/>
      </patternFill>
    </fill>
    <fill>
      <patternFill patternType="solid">
        <fgColor rgb="FFDDEBF7"/>
        <bgColor rgb="FFE6E7E8"/>
      </patternFill>
    </fill>
    <fill>
      <patternFill patternType="solid">
        <fgColor rgb="FF80A6C7"/>
        <bgColor rgb="FF9999FF"/>
      </patternFill>
    </fill>
    <fill>
      <patternFill patternType="solid">
        <fgColor rgb="FFE6E7E8"/>
        <bgColor rgb="FFDDEBF7"/>
      </patternFill>
    </fill>
  </fills>
  <borders count="31">
    <border diagonalUp="false" diagonalDown="false">
      <left/>
      <right/>
      <top/>
      <bottom/>
      <diagonal/>
    </border>
    <border diagonalUp="false" diagonalDown="false">
      <left/>
      <right/>
      <top/>
      <bottom style="thin"/>
      <diagonal/>
    </border>
    <border diagonalUp="false" diagonalDown="false">
      <left/>
      <right/>
      <top style="thin"/>
      <bottom style="thin"/>
      <diagonal/>
    </border>
    <border diagonalUp="false" diagonalDown="false">
      <left style="thin"/>
      <right style="thin"/>
      <top/>
      <bottom/>
      <diagonal/>
    </border>
    <border diagonalUp="false" diagonalDown="false">
      <left style="thin"/>
      <right style="thin"/>
      <top style="thin"/>
      <bottom style="thin"/>
      <diagonal/>
    </border>
    <border diagonalUp="false" diagonalDown="false">
      <left/>
      <right style="thin"/>
      <top style="thin"/>
      <bottom/>
      <diagonal/>
    </border>
    <border diagonalUp="false" diagonalDown="false">
      <left style="medium"/>
      <right/>
      <top style="medium"/>
      <bottom/>
      <diagonal/>
    </border>
    <border diagonalUp="false" diagonalDown="false">
      <left style="medium"/>
      <right style="medium"/>
      <top style="medium"/>
      <bottom/>
      <diagonal/>
    </border>
    <border diagonalUp="false" diagonalDown="false">
      <left/>
      <right style="medium"/>
      <top/>
      <bottom style="medium"/>
      <diagonal/>
    </border>
    <border diagonalUp="false" diagonalDown="false">
      <left style="medium"/>
      <right style="medium"/>
      <top/>
      <bottom style="medium"/>
      <diagonal/>
    </border>
    <border diagonalUp="false" diagonalDown="false">
      <left style="medium"/>
      <right style="medium"/>
      <top style="medium"/>
      <bottom style="medium"/>
      <diagonal/>
    </border>
    <border diagonalUp="false" diagonalDown="false">
      <left style="medium"/>
      <right style="dotted"/>
      <top style="medium"/>
      <bottom style="medium"/>
      <diagonal/>
    </border>
    <border diagonalUp="false" diagonalDown="false">
      <left style="dotted"/>
      <right style="dotted"/>
      <top style="medium"/>
      <bottom style="medium"/>
      <diagonal/>
    </border>
    <border diagonalUp="false" diagonalDown="false">
      <left style="dotted"/>
      <right style="medium"/>
      <top style="medium"/>
      <bottom style="medium"/>
      <diagonal/>
    </border>
    <border diagonalUp="false" diagonalDown="false">
      <left style="medium"/>
      <right style="dotted"/>
      <top style="medium"/>
      <bottom/>
      <diagonal/>
    </border>
    <border diagonalUp="false" diagonalDown="false">
      <left style="dotted"/>
      <right style="dotted"/>
      <top style="medium"/>
      <bottom/>
      <diagonal/>
    </border>
    <border diagonalUp="false" diagonalDown="false">
      <left style="dotted"/>
      <right style="medium"/>
      <top style="medium"/>
      <bottom/>
      <diagonal/>
    </border>
    <border diagonalUp="false" diagonalDown="false">
      <left style="medium"/>
      <right style="medium"/>
      <top/>
      <bottom/>
      <diagonal/>
    </border>
    <border diagonalUp="false" diagonalDown="false">
      <left style="medium"/>
      <right style="dotted"/>
      <top/>
      <bottom/>
      <diagonal/>
    </border>
    <border diagonalUp="false" diagonalDown="false">
      <left style="dotted"/>
      <right style="dotted"/>
      <top/>
      <bottom/>
      <diagonal/>
    </border>
    <border diagonalUp="false" diagonalDown="false">
      <left style="dotted"/>
      <right style="medium"/>
      <top/>
      <bottom/>
      <diagonal/>
    </border>
    <border diagonalUp="false" diagonalDown="false">
      <left style="medium"/>
      <right/>
      <top/>
      <bottom style="medium"/>
      <diagonal/>
    </border>
    <border diagonalUp="false" diagonalDown="false">
      <left style="medium"/>
      <right style="dotted"/>
      <top/>
      <bottom style="medium"/>
      <diagonal/>
    </border>
    <border diagonalUp="false" diagonalDown="false">
      <left style="dotted"/>
      <right style="dotted"/>
      <top/>
      <bottom style="medium"/>
      <diagonal/>
    </border>
    <border diagonalUp="false" diagonalDown="false">
      <left style="dotted"/>
      <right style="medium"/>
      <top/>
      <bottom style="medium"/>
      <diagonal/>
    </border>
    <border diagonalUp="false" diagonalDown="false">
      <left style="medium"/>
      <right/>
      <top style="medium"/>
      <bottom style="medium"/>
      <diagonal/>
    </border>
    <border diagonalUp="false" diagonalDown="false">
      <left/>
      <right/>
      <top style="medium">
        <color rgb="FFFFFFFF"/>
      </top>
      <bottom style="medium">
        <color rgb="FFFFFFFF"/>
      </bottom>
      <diagonal/>
    </border>
    <border diagonalUp="false" diagonalDown="false">
      <left/>
      <right style="medium">
        <color rgb="FFFFFFFF"/>
      </right>
      <top style="medium">
        <color rgb="FFFFFFFF"/>
      </top>
      <bottom style="medium">
        <color rgb="FFFFFFFF"/>
      </bottom>
      <diagonal/>
    </border>
    <border diagonalUp="false" diagonalDown="false">
      <left style="medium">
        <color rgb="FFB4B6B7"/>
      </left>
      <right style="medium">
        <color rgb="FFFFFFFF"/>
      </right>
      <top/>
      <bottom style="medium">
        <color rgb="FFFFFFFF"/>
      </bottom>
      <diagonal/>
    </border>
    <border diagonalUp="false" diagonalDown="false">
      <left/>
      <right style="medium">
        <color rgb="FFFFFFFF"/>
      </right>
      <top/>
      <bottom style="medium">
        <color rgb="FFFFFFFF"/>
      </bottom>
      <diagonal/>
    </border>
    <border diagonalUp="false" diagonalDown="false">
      <left style="medium">
        <color rgb="FFB4B6B7"/>
      </left>
      <right style="medium">
        <color rgb="FFFFFFFF"/>
      </right>
      <top style="medium">
        <color rgb="FFFFFFFF"/>
      </top>
      <bottom style="double"/>
      <diagonal/>
    </border>
  </borders>
  <cellStyleXfs count="32">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70" fontId="0" fillId="0" borderId="0" applyFont="true" applyBorder="true" applyAlignment="true" applyProtection="true">
      <alignment horizontal="general" vertical="bottom" textRotation="0" wrapText="false" indent="0" shrinkToFit="false"/>
      <protection locked="true" hidden="false"/>
    </xf>
    <xf numFmtId="164" fontId="17" fillId="0" borderId="0" applyFont="true" applyBorder="true" applyAlignment="true" applyProtection="true">
      <alignment horizontal="general" vertical="bottom" textRotation="0" wrapText="false" indent="0" shrinkToFit="false"/>
      <protection locked="true" hidden="false"/>
    </xf>
    <xf numFmtId="165" fontId="0" fillId="0" borderId="0" applyFont="true" applyBorder="true" applyAlignment="true" applyProtection="true">
      <alignment horizontal="general" vertical="bottom" textRotation="0" wrapText="false" indent="0" shrinkToFit="false"/>
      <protection locked="true" hidden="false"/>
    </xf>
    <xf numFmtId="166" fontId="0" fillId="0" borderId="0" applyFont="true" applyBorder="true" applyAlignment="true" applyProtection="true">
      <alignment horizontal="general" vertical="bottom" textRotation="0" wrapText="false" indent="0" shrinkToFit="false"/>
      <protection locked="true" hidden="false"/>
    </xf>
    <xf numFmtId="167" fontId="4"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left" vertical="top" textRotation="0" wrapText="tru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8" fontId="5" fillId="0" borderId="0" applyFont="true" applyBorder="true" applyAlignment="true" applyProtection="true">
      <alignment horizontal="general" vertical="bottom" textRotation="0" wrapText="false" indent="0" shrinkToFit="false"/>
      <protection locked="true" hidden="false"/>
    </xf>
    <xf numFmtId="169" fontId="7"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cellStyleXfs>
  <cellXfs count="89">
    <xf numFmtId="164" fontId="0" fillId="0" borderId="0" xfId="0" applyFont="false" applyBorder="false" applyAlignment="false" applyProtection="false">
      <alignment horizontal="general" vertical="bottom" textRotation="0" wrapText="false" indent="0" shrinkToFit="false"/>
      <protection locked="true" hidden="false"/>
    </xf>
    <xf numFmtId="164" fontId="9" fillId="0" borderId="0" xfId="0" applyFont="true" applyBorder="false" applyAlignment="true" applyProtection="true">
      <alignment horizontal="general" vertical="center" textRotation="0" wrapText="false" indent="0" shrinkToFit="false"/>
      <protection locked="true" hidden="false"/>
    </xf>
    <xf numFmtId="164" fontId="10" fillId="0" borderId="1" xfId="0" applyFont="true" applyBorder="true" applyAlignment="true" applyProtection="true">
      <alignment horizontal="general" vertical="center" textRotation="0" wrapText="false" indent="0" shrinkToFit="false"/>
      <protection locked="true" hidden="false"/>
    </xf>
    <xf numFmtId="164" fontId="11" fillId="0" borderId="0" xfId="0" applyFont="true" applyBorder="false" applyAlignment="true" applyProtection="true">
      <alignment horizontal="general" vertical="center" textRotation="0" wrapText="false" indent="0" shrinkToFit="false"/>
      <protection locked="true" hidden="false"/>
    </xf>
    <xf numFmtId="164" fontId="9" fillId="2" borderId="2" xfId="0" applyFont="true" applyBorder="true" applyAlignment="true" applyProtection="true">
      <alignment horizontal="general" vertical="center" textRotation="0" wrapText="true" indent="0" shrinkToFit="false"/>
      <protection locked="true" hidden="false"/>
    </xf>
    <xf numFmtId="164" fontId="12" fillId="0" borderId="0" xfId="0" applyFont="true" applyBorder="false" applyAlignment="true" applyProtection="true">
      <alignment horizontal="general" vertical="center" textRotation="0" wrapText="false" indent="0" shrinkToFit="false"/>
      <protection locked="true" hidden="false"/>
    </xf>
    <xf numFmtId="164" fontId="10" fillId="0" borderId="0" xfId="0" applyFont="true" applyBorder="false" applyAlignment="true" applyProtection="true">
      <alignment horizontal="general" vertical="center" textRotation="0" wrapText="false" indent="0" shrinkToFit="false"/>
      <protection locked="true" hidden="false"/>
    </xf>
    <xf numFmtId="164" fontId="10" fillId="0" borderId="0" xfId="0" applyFont="true" applyBorder="false" applyAlignment="true" applyProtection="true">
      <alignment horizontal="general" vertical="center" textRotation="0" wrapText="true" indent="0" shrinkToFit="false"/>
      <protection locked="true" hidden="false"/>
    </xf>
    <xf numFmtId="164" fontId="10" fillId="0" borderId="0" xfId="0" applyFont="true" applyBorder="false" applyAlignment="true" applyProtection="true">
      <alignment horizontal="left" vertical="center" textRotation="0" wrapText="true" indent="0" shrinkToFit="false"/>
      <protection locked="true" hidden="false"/>
    </xf>
    <xf numFmtId="164" fontId="9" fillId="0" borderId="3" xfId="0" applyFont="true" applyBorder="true" applyAlignment="true" applyProtection="true">
      <alignment horizontal="left" vertical="center" textRotation="0" wrapText="false" indent="0" shrinkToFit="false"/>
      <protection locked="true" hidden="false"/>
    </xf>
    <xf numFmtId="164" fontId="9" fillId="0" borderId="0" xfId="0" applyFont="true" applyBorder="false" applyAlignment="true" applyProtection="true">
      <alignment horizontal="left" vertical="center" textRotation="0" wrapText="false" indent="0" shrinkToFit="false"/>
      <protection locked="true" hidden="false"/>
    </xf>
    <xf numFmtId="164" fontId="9" fillId="3" borderId="0" xfId="0" applyFont="true" applyBorder="false" applyAlignment="true" applyProtection="true">
      <alignment horizontal="left" vertical="center" textRotation="0" wrapText="false" indent="0" shrinkToFit="false"/>
      <protection locked="true" hidden="false"/>
    </xf>
    <xf numFmtId="164" fontId="9" fillId="4" borderId="0" xfId="0" applyFont="true" applyBorder="false" applyAlignment="true" applyProtection="true">
      <alignment horizontal="left" vertical="center" textRotation="0" wrapText="false" indent="0" shrinkToFit="false"/>
      <protection locked="true" hidden="false"/>
    </xf>
    <xf numFmtId="164" fontId="10" fillId="5" borderId="0" xfId="0" applyFont="true" applyBorder="false" applyAlignment="true" applyProtection="true">
      <alignment horizontal="general" vertical="center" textRotation="0" wrapText="false" indent="0" shrinkToFit="false"/>
      <protection locked="true" hidden="false"/>
    </xf>
    <xf numFmtId="164" fontId="9" fillId="5" borderId="0" xfId="0" applyFont="true" applyBorder="false" applyAlignment="true" applyProtection="true">
      <alignment horizontal="general" vertical="center" textRotation="0" wrapText="false" indent="0" shrinkToFit="false"/>
      <protection locked="true" hidden="false"/>
    </xf>
    <xf numFmtId="164" fontId="12" fillId="5" borderId="0" xfId="0" applyFont="true" applyBorder="false" applyAlignment="true" applyProtection="true">
      <alignment horizontal="general" vertical="center" textRotation="0" wrapText="false" indent="0" shrinkToFit="false"/>
      <protection locked="true" hidden="false"/>
    </xf>
    <xf numFmtId="164" fontId="9" fillId="5" borderId="0" xfId="0" applyFont="true" applyBorder="false" applyAlignment="true" applyProtection="true">
      <alignment horizontal="general" vertical="center" textRotation="0" wrapText="true" indent="0" shrinkToFit="false"/>
      <protection locked="true" hidden="false"/>
    </xf>
    <xf numFmtId="164" fontId="9" fillId="0" borderId="0" xfId="0" applyFont="true" applyBorder="false" applyAlignment="true" applyProtection="true">
      <alignment horizontal="general" vertical="top" textRotation="0" wrapText="true" indent="0" shrinkToFit="false"/>
      <protection locked="true" hidden="false"/>
    </xf>
    <xf numFmtId="164" fontId="9" fillId="0" borderId="0" xfId="0" applyFont="true" applyBorder="false" applyAlignment="true" applyProtection="true">
      <alignment horizontal="general" vertical="center" textRotation="0" wrapText="true" indent="0" shrinkToFit="false"/>
      <protection locked="true" hidden="false"/>
    </xf>
    <xf numFmtId="164" fontId="9" fillId="0" borderId="0" xfId="0" applyFont="true" applyBorder="false" applyAlignment="true" applyProtection="true">
      <alignment horizontal="general" vertical="top" textRotation="0" wrapText="false" indent="0" shrinkToFit="false"/>
      <protection locked="true" hidden="false"/>
    </xf>
    <xf numFmtId="164" fontId="9" fillId="5" borderId="0" xfId="0" applyFont="true" applyBorder="false" applyAlignment="true" applyProtection="true">
      <alignment horizontal="general" vertical="top" textRotation="0" wrapText="true" indent="0" shrinkToFit="false"/>
      <protection locked="true" hidden="false"/>
    </xf>
    <xf numFmtId="170" fontId="9" fillId="0" borderId="0" xfId="0" applyFont="true" applyBorder="false" applyAlignment="true" applyProtection="true">
      <alignment horizontal="left" vertical="center" textRotation="0" wrapText="false" indent="0" shrinkToFit="false"/>
      <protection locked="true" hidden="false"/>
    </xf>
    <xf numFmtId="164" fontId="0" fillId="0" borderId="3" xfId="0" applyFont="true" applyBorder="tru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14" fillId="6" borderId="4" xfId="0" applyFont="true" applyBorder="true" applyAlignment="true" applyProtection="true">
      <alignment horizontal="center" vertical="center" textRotation="0" wrapText="true" indent="0" shrinkToFit="false"/>
      <protection locked="true" hidden="false"/>
    </xf>
    <xf numFmtId="164" fontId="14" fillId="7" borderId="5" xfId="0" applyFont="true" applyBorder="true" applyAlignment="true" applyProtection="true">
      <alignment horizontal="center" vertical="center" textRotation="0" wrapText="true" indent="0" shrinkToFit="false"/>
      <protection locked="true" hidden="false"/>
    </xf>
    <xf numFmtId="164" fontId="14" fillId="6" borderId="0" xfId="0" applyFont="true" applyBorder="false" applyAlignment="true" applyProtection="true">
      <alignment horizontal="center" vertical="center" textRotation="0" wrapText="true" indent="0" shrinkToFit="false"/>
      <protection locked="true" hidden="false"/>
    </xf>
    <xf numFmtId="164" fontId="15" fillId="6" borderId="0" xfId="0" applyFont="true" applyBorder="false" applyAlignment="true" applyProtection="true">
      <alignment horizontal="center" vertical="center" textRotation="0" wrapText="true" indent="0" shrinkToFit="false"/>
      <protection locked="true" hidden="false"/>
    </xf>
    <xf numFmtId="164" fontId="16" fillId="0" borderId="3" xfId="0" applyFont="true" applyBorder="true" applyAlignment="true" applyProtection="true">
      <alignment horizontal="left" vertical="center" textRotation="0" wrapText="false" indent="0" shrinkToFit="false"/>
      <protection locked="true" hidden="false"/>
    </xf>
    <xf numFmtId="171" fontId="16" fillId="0" borderId="0" xfId="0" applyFont="true" applyBorder="false" applyAlignment="true" applyProtection="true">
      <alignment horizontal="left" vertical="center" textRotation="0" wrapText="false" indent="0" shrinkToFit="false"/>
      <protection locked="true" hidden="false"/>
    </xf>
    <xf numFmtId="164" fontId="16" fillId="7" borderId="3" xfId="0" applyFont="true" applyBorder="true" applyAlignment="true" applyProtection="true">
      <alignment horizontal="left" vertical="center" textRotation="0" wrapText="false" indent="0" shrinkToFit="false"/>
      <protection locked="true" hidden="false"/>
    </xf>
    <xf numFmtId="164" fontId="16" fillId="0" borderId="0" xfId="0" applyFont="true" applyBorder="false" applyAlignment="true" applyProtection="true">
      <alignment horizontal="left" vertical="center" textRotation="0" wrapText="false" indent="0" shrinkToFit="false"/>
      <protection locked="true" hidden="false"/>
    </xf>
    <xf numFmtId="164" fontId="16" fillId="0" borderId="0" xfId="0" applyFont="true" applyBorder="false" applyAlignment="true" applyProtection="true">
      <alignment horizontal="right" vertical="center" textRotation="0" wrapText="false" indent="0" shrinkToFit="false"/>
      <protection locked="true" hidden="false"/>
    </xf>
    <xf numFmtId="170" fontId="16" fillId="0" borderId="0" xfId="19" applyFont="true" applyBorder="false" applyAlignment="true" applyProtection="true">
      <alignment horizontal="left" vertical="center" textRotation="0" wrapText="false" indent="0" shrinkToFit="false"/>
      <protection locked="true" hidden="false"/>
    </xf>
    <xf numFmtId="164" fontId="16" fillId="7" borderId="0" xfId="0" applyFont="true" applyBorder="false" applyAlignment="true" applyProtection="true">
      <alignment horizontal="left" vertical="center" textRotation="0" wrapText="false" indent="0" shrinkToFit="false"/>
      <protection locked="true" hidden="false"/>
    </xf>
    <xf numFmtId="164" fontId="9" fillId="7" borderId="3" xfId="0" applyFont="true" applyBorder="true" applyAlignment="true" applyProtection="true">
      <alignment horizontal="left" vertical="center" textRotation="0" wrapText="false" indent="0" shrinkToFit="false"/>
      <protection locked="true" hidden="false"/>
    </xf>
    <xf numFmtId="164" fontId="16" fillId="0" borderId="3" xfId="0" applyFont="true" applyBorder="true" applyAlignment="true" applyProtection="true">
      <alignment horizontal="general" vertical="bottom" textRotation="0" wrapText="false" indent="0" shrinkToFit="false"/>
      <protection locked="true" hidden="false"/>
    </xf>
    <xf numFmtId="164" fontId="16" fillId="0" borderId="0" xfId="0" applyFont="true" applyBorder="false" applyAlignment="true" applyProtection="true">
      <alignment horizontal="general" vertical="bottom" textRotation="0" wrapText="false" indent="0" shrinkToFit="false"/>
      <protection locked="true" hidden="false"/>
    </xf>
    <xf numFmtId="164" fontId="0" fillId="7" borderId="3" xfId="0" applyFont="true" applyBorder="true" applyAlignment="true" applyProtection="true">
      <alignment horizontal="general" vertical="bottom" textRotation="0" wrapText="false" indent="0" shrinkToFit="false"/>
      <protection locked="true" hidden="false"/>
    </xf>
    <xf numFmtId="164" fontId="16" fillId="0" borderId="0" xfId="0" applyFont="true" applyBorder="false" applyAlignment="true" applyProtection="true">
      <alignment horizontal="right" vertical="bottom" textRotation="0" wrapText="false" indent="0" shrinkToFit="false"/>
      <protection locked="true" hidden="false"/>
    </xf>
    <xf numFmtId="164" fontId="0" fillId="8" borderId="0" xfId="0" applyFont="true" applyBorder="false" applyAlignment="true" applyProtection="true">
      <alignment horizontal="general" vertical="bottom" textRotation="0" wrapText="false" indent="0" shrinkToFit="false"/>
      <protection locked="true" hidden="false"/>
    </xf>
    <xf numFmtId="164" fontId="17" fillId="0" borderId="0" xfId="20" applyFont="true" applyBorder="false" applyAlignment="true" applyProtection="true">
      <alignment horizontal="general" vertical="bottom" textRotation="0" wrapText="false" indent="0" shrinkToFit="false"/>
      <protection locked="true" hidden="false"/>
    </xf>
    <xf numFmtId="164" fontId="18" fillId="9" borderId="0" xfId="0" applyFont="true" applyBorder="false" applyAlignment="true" applyProtection="true">
      <alignment horizontal="left" vertical="center" textRotation="0" wrapText="false" indent="0" shrinkToFit="false"/>
      <protection locked="true" hidden="false"/>
    </xf>
    <xf numFmtId="164" fontId="19" fillId="6" borderId="0" xfId="0" applyFont="true" applyBorder="false" applyAlignment="true" applyProtection="true">
      <alignment horizontal="general" vertical="bottom" textRotation="0" wrapText="false" indent="0" shrinkToFit="false"/>
      <protection locked="true" hidden="false"/>
    </xf>
    <xf numFmtId="164" fontId="19" fillId="0" borderId="0" xfId="0" applyFont="true" applyBorder="false" applyAlignment="true" applyProtection="true">
      <alignment horizontal="general" vertical="center" textRotation="0" wrapText="false" indent="0" shrinkToFit="false"/>
      <protection locked="true" hidden="false"/>
    </xf>
    <xf numFmtId="164" fontId="19" fillId="0" borderId="0" xfId="0" applyFont="true" applyBorder="false" applyAlignment="true" applyProtection="true">
      <alignment horizontal="center" vertical="center" textRotation="0" wrapText="false" indent="0" shrinkToFit="false"/>
      <protection locked="true" hidden="false"/>
    </xf>
    <xf numFmtId="164" fontId="19" fillId="0" borderId="0" xfId="0" applyFont="true" applyBorder="false" applyAlignment="true" applyProtection="true">
      <alignment horizontal="general" vertical="bottom" textRotation="0" wrapText="false" indent="0" shrinkToFit="false"/>
      <protection locked="true" hidden="false"/>
    </xf>
    <xf numFmtId="164" fontId="19" fillId="6" borderId="0" xfId="0" applyFont="true" applyBorder="false" applyAlignment="true" applyProtection="true">
      <alignment horizontal="general" vertical="center" textRotation="0" wrapText="false" indent="0" shrinkToFit="false"/>
      <protection locked="true" hidden="false"/>
    </xf>
    <xf numFmtId="164" fontId="19" fillId="6" borderId="0" xfId="0" applyFont="true" applyBorder="false" applyAlignment="true" applyProtection="true">
      <alignment horizontal="center" vertical="center" textRotation="0" wrapText="false" indent="0" shrinkToFit="false"/>
      <protection locked="true" hidden="false"/>
    </xf>
    <xf numFmtId="164" fontId="18" fillId="10" borderId="6" xfId="0" applyFont="true" applyBorder="true" applyAlignment="true" applyProtection="true">
      <alignment horizontal="left" vertical="center" textRotation="0" wrapText="false" indent="0" shrinkToFit="false"/>
      <protection locked="true" hidden="false"/>
    </xf>
    <xf numFmtId="164" fontId="20" fillId="2" borderId="7" xfId="0" applyFont="true" applyBorder="true" applyAlignment="true" applyProtection="true">
      <alignment horizontal="center" vertical="center" textRotation="0" wrapText="true" indent="0" shrinkToFit="false"/>
      <protection locked="false" hidden="false"/>
    </xf>
    <xf numFmtId="164" fontId="18" fillId="10" borderId="8" xfId="0" applyFont="true" applyBorder="true" applyAlignment="true" applyProtection="true">
      <alignment horizontal="left" vertical="center" textRotation="0" wrapText="false" indent="0" shrinkToFit="false"/>
      <protection locked="true" hidden="false"/>
    </xf>
    <xf numFmtId="164" fontId="19" fillId="2" borderId="9" xfId="0" applyFont="true" applyBorder="true" applyAlignment="true" applyProtection="true">
      <alignment horizontal="center" vertical="center" textRotation="0" wrapText="false" indent="0" shrinkToFit="false"/>
      <protection locked="false" hidden="false"/>
    </xf>
    <xf numFmtId="164" fontId="18" fillId="10" borderId="10" xfId="0" applyFont="true" applyBorder="true" applyAlignment="true" applyProtection="true">
      <alignment horizontal="general" vertical="center" textRotation="0" wrapText="false" indent="0" shrinkToFit="false"/>
      <protection locked="true" hidden="false"/>
    </xf>
    <xf numFmtId="164" fontId="19" fillId="2" borderId="11" xfId="0" applyFont="true" applyBorder="true" applyAlignment="true" applyProtection="true">
      <alignment horizontal="center" vertical="center" textRotation="0" wrapText="true" indent="0" shrinkToFit="false"/>
      <protection locked="true" hidden="false"/>
    </xf>
    <xf numFmtId="164" fontId="19" fillId="2" borderId="12" xfId="0" applyFont="true" applyBorder="true" applyAlignment="true" applyProtection="true">
      <alignment horizontal="center" vertical="center" textRotation="0" wrapText="true" indent="0" shrinkToFit="false"/>
      <protection locked="false" hidden="false"/>
    </xf>
    <xf numFmtId="164" fontId="19" fillId="2" borderId="13" xfId="0" applyFont="true" applyBorder="true" applyAlignment="true" applyProtection="true">
      <alignment horizontal="center" vertical="center" textRotation="0" wrapText="true" indent="0" shrinkToFit="false"/>
      <protection locked="false" hidden="false"/>
    </xf>
    <xf numFmtId="164" fontId="18" fillId="10" borderId="7" xfId="0" applyFont="true" applyBorder="true" applyAlignment="true" applyProtection="true">
      <alignment horizontal="left" vertical="center" textRotation="0" wrapText="false" indent="0" shrinkToFit="false"/>
      <protection locked="true" hidden="false"/>
    </xf>
    <xf numFmtId="164" fontId="19" fillId="2" borderId="14" xfId="0" applyFont="true" applyBorder="true" applyAlignment="true" applyProtection="true">
      <alignment horizontal="center" vertical="center" textRotation="0" wrapText="true" indent="0" shrinkToFit="false"/>
      <protection locked="false" hidden="false"/>
    </xf>
    <xf numFmtId="164" fontId="19" fillId="2" borderId="15" xfId="0" applyFont="true" applyBorder="true" applyAlignment="true" applyProtection="true">
      <alignment horizontal="center" vertical="center" textRotation="0" wrapText="true" indent="0" shrinkToFit="false"/>
      <protection locked="false" hidden="false"/>
    </xf>
    <xf numFmtId="164" fontId="19" fillId="2" borderId="16" xfId="0" applyFont="true" applyBorder="true" applyAlignment="true" applyProtection="true">
      <alignment horizontal="center" vertical="center" textRotation="0" wrapText="true" indent="0" shrinkToFit="false"/>
      <protection locked="false" hidden="false"/>
    </xf>
    <xf numFmtId="164" fontId="21" fillId="11" borderId="17" xfId="0" applyFont="true" applyBorder="true" applyAlignment="true" applyProtection="true">
      <alignment horizontal="general" vertical="center" textRotation="0" wrapText="false" indent="0" shrinkToFit="false"/>
      <protection locked="true" hidden="false"/>
    </xf>
    <xf numFmtId="164" fontId="19" fillId="6" borderId="18" xfId="0" applyFont="true" applyBorder="true" applyAlignment="true" applyProtection="true">
      <alignment horizontal="center" vertical="center" textRotation="0" wrapText="true" indent="0" shrinkToFit="false"/>
      <protection locked="true" hidden="false"/>
    </xf>
    <xf numFmtId="164" fontId="19" fillId="6" borderId="19" xfId="0" applyFont="true" applyBorder="true" applyAlignment="true" applyProtection="true">
      <alignment horizontal="center" vertical="center" textRotation="0" wrapText="true" indent="0" shrinkToFit="false"/>
      <protection locked="true" hidden="false"/>
    </xf>
    <xf numFmtId="164" fontId="19" fillId="6" borderId="20" xfId="0" applyFont="true" applyBorder="true" applyAlignment="true" applyProtection="true">
      <alignment horizontal="center" vertical="center" textRotation="0" wrapText="true" indent="0" shrinkToFit="false"/>
      <protection locked="true" hidden="false"/>
    </xf>
    <xf numFmtId="164" fontId="21" fillId="11" borderId="21" xfId="0" applyFont="true" applyBorder="true" applyAlignment="true" applyProtection="true">
      <alignment horizontal="general" vertical="center" textRotation="0" wrapText="false" indent="0" shrinkToFit="false"/>
      <protection locked="true" hidden="false"/>
    </xf>
    <xf numFmtId="170" fontId="19" fillId="2" borderId="22" xfId="19" applyFont="true" applyBorder="true" applyAlignment="true" applyProtection="true">
      <alignment horizontal="center" vertical="center" textRotation="0" wrapText="true" indent="0" shrinkToFit="false"/>
      <protection locked="false" hidden="false"/>
    </xf>
    <xf numFmtId="170" fontId="19" fillId="2" borderId="23" xfId="19" applyFont="true" applyBorder="true" applyAlignment="true" applyProtection="true">
      <alignment horizontal="center" vertical="center" textRotation="0" wrapText="true" indent="0" shrinkToFit="false"/>
      <protection locked="false" hidden="false"/>
    </xf>
    <xf numFmtId="170" fontId="19" fillId="2" borderId="24" xfId="19" applyFont="true" applyBorder="true" applyAlignment="true" applyProtection="true">
      <alignment horizontal="center" vertical="center" textRotation="0" wrapText="true" indent="0" shrinkToFit="false"/>
      <protection locked="false" hidden="false"/>
    </xf>
    <xf numFmtId="164" fontId="22" fillId="6" borderId="0" xfId="0" applyFont="true" applyBorder="false" applyAlignment="true" applyProtection="true">
      <alignment horizontal="general" vertical="center" textRotation="0" wrapText="false" indent="0" shrinkToFit="false"/>
      <protection locked="true" hidden="false"/>
    </xf>
    <xf numFmtId="164" fontId="21" fillId="11" borderId="25" xfId="0" applyFont="true" applyBorder="true" applyAlignment="true" applyProtection="true">
      <alignment horizontal="general" vertical="center" textRotation="0" wrapText="false" indent="0" shrinkToFit="false"/>
      <protection locked="true" hidden="false"/>
    </xf>
    <xf numFmtId="164" fontId="19" fillId="2" borderId="10" xfId="0" applyFont="true" applyBorder="true" applyAlignment="true" applyProtection="true">
      <alignment horizontal="center" vertical="center" textRotation="0" wrapText="true" indent="0" shrinkToFit="false"/>
      <protection locked="false" hidden="false"/>
    </xf>
    <xf numFmtId="164" fontId="21" fillId="11" borderId="7" xfId="0" applyFont="true" applyBorder="true" applyAlignment="true" applyProtection="true">
      <alignment horizontal="general" vertical="center" textRotation="0" wrapText="false" indent="0" shrinkToFit="false"/>
      <protection locked="true" hidden="false"/>
    </xf>
    <xf numFmtId="164" fontId="19" fillId="2" borderId="7" xfId="0" applyFont="true" applyBorder="true" applyAlignment="true" applyProtection="true">
      <alignment horizontal="center" vertical="center" textRotation="0" wrapText="true" indent="0" shrinkToFit="false"/>
      <protection locked="false" hidden="false"/>
    </xf>
    <xf numFmtId="164" fontId="15" fillId="2" borderId="17" xfId="0" applyFont="true" applyBorder="true" applyAlignment="true" applyProtection="true">
      <alignment horizontal="center" vertical="center" textRotation="0" wrapText="false" indent="0" shrinkToFit="false"/>
      <protection locked="false" hidden="false"/>
    </xf>
    <xf numFmtId="164" fontId="19" fillId="2" borderId="17" xfId="0" applyFont="true" applyBorder="true" applyAlignment="true" applyProtection="true">
      <alignment horizontal="center" vertical="center" textRotation="0" wrapText="false" indent="0" shrinkToFit="false"/>
      <protection locked="false" hidden="false"/>
    </xf>
    <xf numFmtId="164" fontId="21" fillId="11" borderId="9" xfId="0" applyFont="true" applyBorder="true" applyAlignment="true" applyProtection="true">
      <alignment horizontal="general" vertical="center" textRotation="0" wrapText="false" indent="0" shrinkToFit="false"/>
      <protection locked="true" hidden="false"/>
    </xf>
    <xf numFmtId="164" fontId="23" fillId="6" borderId="0" xfId="0" applyFont="true" applyBorder="false" applyAlignment="true" applyProtection="true">
      <alignment horizontal="general" vertical="bottom" textRotation="0" wrapText="false" indent="0" shrinkToFit="false"/>
      <protection locked="true" hidden="false"/>
    </xf>
    <xf numFmtId="164" fontId="18" fillId="10" borderId="7" xfId="0" applyFont="true" applyBorder="true" applyAlignment="true" applyProtection="true">
      <alignment horizontal="general" vertical="center" textRotation="0" wrapText="false" indent="0" shrinkToFit="false"/>
      <protection locked="true" hidden="false"/>
    </xf>
    <xf numFmtId="164" fontId="20" fillId="2" borderId="7" xfId="0" applyFont="true" applyBorder="true" applyAlignment="true" applyProtection="true">
      <alignment horizontal="center" vertical="center" textRotation="0" wrapText="false" indent="0" shrinkToFit="false"/>
      <protection locked="false" hidden="false"/>
    </xf>
    <xf numFmtId="164" fontId="24" fillId="10" borderId="26" xfId="0" applyFont="true" applyBorder="true" applyAlignment="true" applyProtection="true">
      <alignment horizontal="left" vertical="center" textRotation="0" wrapText="false" indent="0" shrinkToFit="false"/>
      <protection locked="true" hidden="false"/>
    </xf>
    <xf numFmtId="164" fontId="24" fillId="10" borderId="27" xfId="0" applyFont="true" applyBorder="true" applyAlignment="true" applyProtection="true">
      <alignment horizontal="right" vertical="center" textRotation="0" wrapText="false" indent="0" shrinkToFit="false"/>
      <protection locked="true" hidden="false"/>
    </xf>
    <xf numFmtId="164" fontId="25" fillId="6" borderId="0" xfId="0" applyFont="true" applyBorder="false" applyAlignment="true" applyProtection="true">
      <alignment horizontal="general" vertical="bottom" textRotation="0" wrapText="false" indent="0" shrinkToFit="false"/>
      <protection locked="true" hidden="false"/>
    </xf>
    <xf numFmtId="164" fontId="26" fillId="12" borderId="28" xfId="0" applyFont="true" applyBorder="true" applyAlignment="true" applyProtection="true">
      <alignment horizontal="general" vertical="center" textRotation="0" wrapText="true" indent="0" shrinkToFit="false"/>
      <protection locked="true" hidden="false"/>
    </xf>
    <xf numFmtId="172" fontId="26" fillId="13" borderId="29" xfId="0" applyFont="true" applyBorder="true" applyAlignment="true" applyProtection="true">
      <alignment horizontal="right" vertical="center" textRotation="0" wrapText="true" indent="0" shrinkToFit="false"/>
      <protection locked="true" hidden="false"/>
    </xf>
    <xf numFmtId="164" fontId="25" fillId="6" borderId="0" xfId="0" applyFont="true" applyBorder="false" applyAlignment="true" applyProtection="true">
      <alignment horizontal="general" vertical="bottom" textRotation="0" wrapText="false" indent="0" shrinkToFit="false"/>
      <protection locked="false" hidden="false"/>
    </xf>
    <xf numFmtId="164" fontId="15" fillId="6" borderId="0" xfId="0" applyFont="true" applyBorder="false" applyAlignment="true" applyProtection="true">
      <alignment horizontal="general" vertical="bottom" textRotation="0" wrapText="false" indent="0" shrinkToFit="false"/>
      <protection locked="false" hidden="false"/>
    </xf>
    <xf numFmtId="172" fontId="22" fillId="7" borderId="29" xfId="0" applyFont="true" applyBorder="true" applyAlignment="true" applyProtection="true">
      <alignment horizontal="right" vertical="center" textRotation="0" wrapText="true" indent="0" shrinkToFit="false"/>
      <protection locked="true" hidden="false"/>
    </xf>
    <xf numFmtId="164" fontId="26" fillId="12" borderId="30" xfId="0" applyFont="true" applyBorder="true" applyAlignment="true" applyProtection="true">
      <alignment horizontal="general" vertical="center" textRotation="0" wrapText="true" indent="0" shrinkToFit="false"/>
      <protection locked="true" hidden="false"/>
    </xf>
  </cellXfs>
  <cellStyles count="18">
    <cellStyle name="Normal" xfId="0" builtinId="0"/>
    <cellStyle name="Comma" xfId="15" builtinId="3"/>
    <cellStyle name="Comma [0]" xfId="16" builtinId="6"/>
    <cellStyle name="Currency" xfId="17" builtinId="4"/>
    <cellStyle name="Currency [0]" xfId="18" builtinId="7"/>
    <cellStyle name="Percent" xfId="19" builtinId="5"/>
    <cellStyle name="Comma 2" xfId="21"/>
    <cellStyle name="Comma 3" xfId="22"/>
    <cellStyle name="Comma 9" xfId="23"/>
    <cellStyle name="EYtext" xfId="24"/>
    <cellStyle name="Normal 11" xfId="25"/>
    <cellStyle name="Normal 12" xfId="26"/>
    <cellStyle name="Normal 2" xfId="27"/>
    <cellStyle name="Normal 3" xfId="28"/>
    <cellStyle name="Normal 6" xfId="29"/>
    <cellStyle name="Standard 3 2" xfId="30"/>
    <cellStyle name="Standard_Kopie von Bilanz-Rating 31 07 03" xfId="31"/>
    <cellStyle name="*unknown*" xfId="20" builtinId="8"/>
  </cellStyles>
  <colors>
    <indexedColors>
      <rgbColor rgb="FF000000"/>
      <rgbColor rgb="FFFFFFFF"/>
      <rgbColor rgb="FFFF0000"/>
      <rgbColor rgb="FF00FF00"/>
      <rgbColor rgb="FF0000FF"/>
      <rgbColor rgb="FFFFFF00"/>
      <rgbColor rgb="FFFF00FF"/>
      <rgbColor rgb="FF00FFFF"/>
      <rgbColor rgb="FF800000"/>
      <rgbColor rgb="FF008000"/>
      <rgbColor rgb="FF001469"/>
      <rgbColor rgb="FFAD983E"/>
      <rgbColor rgb="FF800080"/>
      <rgbColor rgb="FF008080"/>
      <rgbColor rgb="FFB4B6B7"/>
      <rgbColor rgb="FF7F7F7F"/>
      <rgbColor rgb="FF9999FF"/>
      <rgbColor rgb="FF993366"/>
      <rgbColor rgb="FFFBF3D9"/>
      <rgbColor rgb="FFDDEBF7"/>
      <rgbColor rgb="FF660066"/>
      <rgbColor rgb="FFFF8080"/>
      <rgbColor rgb="FF1D3DB3"/>
      <rgbColor rgb="FFCCCCFF"/>
      <rgbColor rgb="FF000080"/>
      <rgbColor rgb="FFFF00FF"/>
      <rgbColor rgb="FFFFFF00"/>
      <rgbColor rgb="FF00FFFF"/>
      <rgbColor rgb="FF800080"/>
      <rgbColor rgb="FF800000"/>
      <rgbColor rgb="FF008080"/>
      <rgbColor rgb="FF0000FF"/>
      <rgbColor rgb="FF00CCFF"/>
      <rgbColor rgb="FFF2F2F2"/>
      <rgbColor rgb="FFE6E7E8"/>
      <rgbColor rgb="FFFFFF99"/>
      <rgbColor rgb="FF99CCFF"/>
      <rgbColor rgb="FFFF99CC"/>
      <rgbColor rgb="FFCC99FF"/>
      <rgbColor rgb="FFFFE0CE"/>
      <rgbColor rgb="FF3366FF"/>
      <rgbColor rgb="FF33CCCC"/>
      <rgbColor rgb="FF99CC00"/>
      <rgbColor rgb="FFFFCC00"/>
      <rgbColor rgb="FFFF9900"/>
      <rgbColor rgb="FFFF6600"/>
      <rgbColor rgb="FF637FE6"/>
      <rgbColor rgb="FF80A6C7"/>
      <rgbColor rgb="FF004D8F"/>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2.wmf"/>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twoCell">
    <xdr:from>
      <xdr:col>10</xdr:col>
      <xdr:colOff>288000</xdr:colOff>
      <xdr:row>2</xdr:row>
      <xdr:rowOff>108000</xdr:rowOff>
    </xdr:from>
    <xdr:to>
      <xdr:col>12</xdr:col>
      <xdr:colOff>582840</xdr:colOff>
      <xdr:row>4</xdr:row>
      <xdr:rowOff>474840</xdr:rowOff>
    </xdr:to>
    <xdr:pic>
      <xdr:nvPicPr>
        <xdr:cNvPr id="1" name="CommandButton1"/>
        <xdr:cNvPicPr/>
      </xdr:nvPicPr>
      <xdr:blipFill>
        <a:blip r:embed="rId1"/>
        <a:stretch/>
      </xdr:blipFill>
      <xdr:spPr>
        <a:xfrm>
          <a:off x="10288440" y="851040"/>
          <a:ext cx="1479240" cy="747720"/>
        </a:xfrm>
        <a:prstGeom prst="rect">
          <a:avLst/>
        </a:prstGeom>
        <a:solidFill>
          <a:srgbClr val="FFFFFF"/>
        </a:solidFill>
        <a:ln w="0">
          <a:noFill/>
        </a:ln>
      </xdr:spPr>
    </xdr:pic>
    <xdr:clientData/>
  </xdr:twoCellAnchor>
  <xdr:twoCellAnchor editAs="twoCell">
    <xdr:from>
      <xdr:col>13</xdr:col>
      <xdr:colOff>79200</xdr:colOff>
      <xdr:row>1</xdr:row>
      <xdr:rowOff>230400</xdr:rowOff>
    </xdr:from>
    <xdr:to>
      <xdr:col>14</xdr:col>
      <xdr:colOff>525240</xdr:colOff>
      <xdr:row>3</xdr:row>
      <xdr:rowOff>78840</xdr:rowOff>
    </xdr:to>
    <xdr:pic>
      <xdr:nvPicPr>
        <xdr:cNvPr id="2" name="CommandButton2"/>
        <xdr:cNvPicPr/>
      </xdr:nvPicPr>
      <xdr:blipFill>
        <a:blip r:embed="rId2"/>
        <a:stretch/>
      </xdr:blipFill>
      <xdr:spPr>
        <a:xfrm>
          <a:off x="11905920" y="544680"/>
          <a:ext cx="1088280" cy="457920"/>
        </a:xfrm>
        <a:prstGeom prst="rect">
          <a:avLst/>
        </a:prstGeom>
        <a:solidFill>
          <a:srgbClr val="FFFFFF"/>
        </a:solidFill>
        <a:ln w="0">
          <a:noFill/>
        </a:ln>
      </xdr:spPr>
    </xdr:pic>
    <xdr:clientData/>
  </xdr:twoCellAnchor>
</xdr:wsDr>
</file>

<file path=xl/theme/theme1.xml><?xml version="1.0" encoding="utf-8"?>
<a:theme xmlns:a="http://schemas.openxmlformats.org/drawingml/2006/main" xmlns:r="http://schemas.openxmlformats.org/officeDocument/2006/relationships" name="SCOPE Design Theme_2023">
  <a:themeElements>
    <a:clrScheme name="SCOPE Poly Colours">
      <a:dk1>
        <a:srgbClr val="000000"/>
      </a:dk1>
      <a:lt1>
        <a:srgbClr val="FFFFFF"/>
      </a:lt1>
      <a:dk2>
        <a:srgbClr val="09102F"/>
      </a:dk2>
      <a:lt2>
        <a:srgbClr val="F2F4F5"/>
      </a:lt2>
      <a:accent1>
        <a:srgbClr val="1D3DB3"/>
      </a:accent1>
      <a:accent2>
        <a:srgbClr val="AD983E"/>
      </a:accent2>
      <a:accent3>
        <a:srgbClr val="359553"/>
      </a:accent3>
      <a:accent4>
        <a:srgbClr val="CB0513"/>
      </a:accent4>
      <a:accent5>
        <a:srgbClr val="EDC541"/>
      </a:accent5>
      <a:accent6>
        <a:srgbClr val="FF640A"/>
      </a:accent6>
      <a:hlink>
        <a:srgbClr val="1D3DB3"/>
      </a:hlink>
      <a:folHlink>
        <a:srgbClr val="9CAAAF"/>
      </a:folHlink>
    </a:clrScheme>
    <a:fontScheme name="Scope Fonts">
      <a:majorFont>
        <a:latin typeface="Inter Bold" pitchFamily="0" charset="1"/>
        <a:ea typeface=""/>
        <a:cs typeface=""/>
      </a:majorFont>
      <a:minorFont>
        <a:latin typeface="Inter"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comments" Target="../comments1.xml"/><Relationship Id="rId2" Type="http://schemas.openxmlformats.org/officeDocument/2006/relationships/vmlDrawing" Target="../drawings/vmlDrawing1.vml"/>
</Relationships>
</file>

<file path=xl/worksheets/_rels/sheet3.xml.rels><?xml version="1.0" encoding="UTF-8"?>
<Relationships xmlns="http://schemas.openxmlformats.org/package/2006/relationships"><Relationship Id="rId1" Type="http://schemas.openxmlformats.org/officeDocument/2006/relationships/hyperlink" Target="../../../Database/Lists/Don%27t_Touch_List_Data_v2.xlsx" TargetMode="Externa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1.xml"/><Relationship Id="rId3"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V291"/>
  <sheetViews>
    <sheetView showFormulas="false" showGridLines="true" showRowColHeaders="true" showZeros="true" rightToLeft="false" tabSelected="false" showOutlineSymbols="true" defaultGridColor="true" view="normal" topLeftCell="A1" colorId="64" zoomScale="80" zoomScaleNormal="80" zoomScalePageLayoutView="100" workbookViewId="0">
      <pane xSplit="7" ySplit="11" topLeftCell="H166" activePane="bottomRight" state="frozen"/>
      <selection pane="topLeft" activeCell="A1" activeCellId="0" sqref="A1"/>
      <selection pane="topRight" activeCell="H1" activeCellId="0" sqref="H1"/>
      <selection pane="bottomLeft" activeCell="A166" activeCellId="0" sqref="A166"/>
      <selection pane="bottomRight" activeCell="A180" activeCellId="0" sqref="A180"/>
    </sheetView>
  </sheetViews>
  <sheetFormatPr defaultColWidth="9.19921875" defaultRowHeight="11.25" customHeight="false" zeroHeight="false" outlineLevelRow="0" outlineLevelCol="1"/>
  <cols>
    <col collapsed="false" customWidth="true" hidden="false" outlineLevel="0" max="1" min="1" style="1" width="14.2"/>
    <col collapsed="false" customWidth="true" hidden="false" outlineLevel="0" max="8" min="2" style="1" width="20.7"/>
    <col collapsed="false" customWidth="false" hidden="false" outlineLevel="0" max="9" min="9" style="1" width="9.2"/>
    <col collapsed="false" customWidth="false" hidden="false" outlineLevel="1" max="10" min="10" style="1" width="9.2"/>
    <col collapsed="false" customWidth="true" hidden="false" outlineLevel="0" max="11" min="11" style="1" width="11.4"/>
    <col collapsed="false" customWidth="true" hidden="false" outlineLevel="0" max="12" min="12" style="1" width="12"/>
    <col collapsed="false" customWidth="true" hidden="false" outlineLevel="0" max="26" min="13" style="1" width="35.7"/>
    <col collapsed="false" customWidth="false" hidden="false" outlineLevel="0" max="16384" min="27" style="1" width="9.2"/>
  </cols>
  <sheetData>
    <row r="1" customFormat="false" ht="11.25" hidden="false" customHeight="false" outlineLevel="0" collapsed="false">
      <c r="B1" s="2" t="s">
        <v>0</v>
      </c>
      <c r="C1" s="2" t="s">
        <v>1</v>
      </c>
      <c r="D1" s="2" t="s">
        <v>2</v>
      </c>
      <c r="E1" s="2" t="s">
        <v>3</v>
      </c>
      <c r="F1" s="2" t="s">
        <v>4</v>
      </c>
      <c r="G1" s="2" t="s">
        <v>5</v>
      </c>
      <c r="K1" s="3" t="s">
        <v>6</v>
      </c>
      <c r="M1" s="1" t="s">
        <v>7</v>
      </c>
      <c r="N1" s="1" t="s">
        <v>8</v>
      </c>
      <c r="O1" s="1" t="s">
        <v>7</v>
      </c>
      <c r="P1" s="1" t="s">
        <v>8</v>
      </c>
      <c r="Q1" s="1" t="s">
        <v>7</v>
      </c>
      <c r="R1" s="1" t="s">
        <v>7</v>
      </c>
      <c r="S1" s="1" t="s">
        <v>7</v>
      </c>
      <c r="T1" s="1" t="s">
        <v>8</v>
      </c>
      <c r="U1" s="1" t="s">
        <v>8</v>
      </c>
      <c r="V1" s="1" t="s">
        <v>8</v>
      </c>
      <c r="W1" s="1" t="s">
        <v>8</v>
      </c>
      <c r="X1" s="1" t="s">
        <v>8</v>
      </c>
      <c r="Y1" s="1" t="s">
        <v>8</v>
      </c>
      <c r="Z1" s="1" t="s">
        <v>7</v>
      </c>
      <c r="BL1" s="1" t="s">
        <v>9</v>
      </c>
      <c r="BQ1" s="1" t="s">
        <v>10</v>
      </c>
      <c r="CU1" s="1" t="s">
        <v>11</v>
      </c>
      <c r="CV1" s="1" t="s">
        <v>12</v>
      </c>
    </row>
    <row r="2" customFormat="false" ht="22.5" hidden="false" customHeight="true" outlineLevel="0" collapsed="false">
      <c r="B2" s="4" t="str">
        <f aca="false" t="array" ref="B2:B2">+MASTER!Methodology2</f>
        <v>Consumer Products Rating Methodology</v>
      </c>
      <c r="C2" s="4" t="n">
        <f aca="false">+MASTER!Methodology3</f>
        <v>0</v>
      </c>
      <c r="D2" s="4" t="n">
        <f aca="false">+MASTER!Methodology4</f>
        <v>0</v>
      </c>
      <c r="E2" s="4" t="n">
        <f aca="false">+MASTER!Methodology5</f>
        <v>0</v>
      </c>
      <c r="F2" s="4" t="n">
        <f aca="false">+MASTER!Methodology6</f>
        <v>0</v>
      </c>
      <c r="G2" s="4" t="n">
        <f aca="false">+MASTER!Methodology7</f>
        <v>0</v>
      </c>
      <c r="J2" s="5" t="n">
        <v>1</v>
      </c>
      <c r="K2" s="6" t="s">
        <v>13</v>
      </c>
      <c r="M2" s="7" t="s">
        <v>14</v>
      </c>
      <c r="N2" s="7" t="s">
        <v>15</v>
      </c>
      <c r="O2" s="7" t="s">
        <v>16</v>
      </c>
      <c r="P2" s="7" t="s">
        <v>17</v>
      </c>
      <c r="Q2" s="7" t="s">
        <v>18</v>
      </c>
      <c r="R2" s="7" t="s">
        <v>19</v>
      </c>
      <c r="S2" s="7" t="s">
        <v>20</v>
      </c>
      <c r="T2" s="7" t="s">
        <v>21</v>
      </c>
      <c r="U2" s="7" t="s">
        <v>22</v>
      </c>
      <c r="V2" s="8" t="s">
        <v>23</v>
      </c>
      <c r="W2" s="7" t="s">
        <v>24</v>
      </c>
      <c r="X2" s="7" t="s">
        <v>25</v>
      </c>
      <c r="Y2" s="7" t="s">
        <v>26</v>
      </c>
      <c r="Z2" s="7" t="s">
        <v>27</v>
      </c>
      <c r="BQ2" s="9" t="s">
        <v>28</v>
      </c>
      <c r="CU2" s="1" t="s">
        <v>29</v>
      </c>
      <c r="CV2" s="1" t="s">
        <v>30</v>
      </c>
    </row>
    <row r="3" customFormat="false" ht="11.25" hidden="false" customHeight="false" outlineLevel="0" collapsed="false">
      <c r="J3" s="5" t="n">
        <f aca="false">+J2+1</f>
        <v>2</v>
      </c>
      <c r="N3" s="10" t="s">
        <v>31</v>
      </c>
      <c r="O3" s="10" t="s">
        <v>32</v>
      </c>
      <c r="P3" s="10" t="s">
        <v>33</v>
      </c>
      <c r="S3" s="1" t="s">
        <v>34</v>
      </c>
      <c r="T3" s="10" t="s">
        <v>35</v>
      </c>
      <c r="U3" s="10"/>
      <c r="W3" s="10" t="s">
        <v>36</v>
      </c>
      <c r="X3" s="10" t="s">
        <v>37</v>
      </c>
      <c r="Y3" s="11" t="s">
        <v>37</v>
      </c>
      <c r="Z3" s="1" t="s">
        <v>38</v>
      </c>
      <c r="BQ3" s="9" t="s">
        <v>39</v>
      </c>
      <c r="CU3" s="1" t="s">
        <v>40</v>
      </c>
      <c r="CV3" s="1" t="s">
        <v>30</v>
      </c>
    </row>
    <row r="4" customFormat="false" ht="11.25" hidden="false" customHeight="false" outlineLevel="0" collapsed="false">
      <c r="J4" s="5" t="n">
        <f aca="false">+J3+1</f>
        <v>3</v>
      </c>
      <c r="N4" s="10" t="s">
        <v>41</v>
      </c>
      <c r="O4" s="10" t="s">
        <v>42</v>
      </c>
      <c r="P4" s="10" t="s">
        <v>43</v>
      </c>
      <c r="S4" s="1" t="s">
        <v>44</v>
      </c>
      <c r="T4" s="10" t="s">
        <v>35</v>
      </c>
      <c r="U4" s="10"/>
      <c r="W4" s="11" t="s">
        <v>45</v>
      </c>
      <c r="X4" s="10"/>
      <c r="Y4" s="12" t="s">
        <v>46</v>
      </c>
      <c r="Z4" s="1" t="s">
        <v>47</v>
      </c>
      <c r="BQ4" s="9" t="s">
        <v>48</v>
      </c>
      <c r="CU4" s="1" t="s">
        <v>49</v>
      </c>
      <c r="CV4" s="1" t="s">
        <v>30</v>
      </c>
    </row>
    <row r="5" customFormat="false" ht="11.25" hidden="false" customHeight="false" outlineLevel="0" collapsed="false">
      <c r="J5" s="5" t="n">
        <f aca="false">+J4+1</f>
        <v>4</v>
      </c>
      <c r="O5" s="10" t="s">
        <v>50</v>
      </c>
      <c r="P5" s="11" t="s">
        <v>51</v>
      </c>
      <c r="S5" s="1" t="s">
        <v>52</v>
      </c>
      <c r="T5" s="10" t="s">
        <v>53</v>
      </c>
      <c r="U5" s="10"/>
      <c r="X5" s="10"/>
      <c r="Y5" s="10" t="s">
        <v>54</v>
      </c>
      <c r="BQ5" s="9" t="s">
        <v>55</v>
      </c>
      <c r="CU5" s="1" t="s">
        <v>56</v>
      </c>
      <c r="CV5" s="1" t="s">
        <v>30</v>
      </c>
    </row>
    <row r="6" customFormat="false" ht="11.25" hidden="false" customHeight="false" outlineLevel="0" collapsed="false">
      <c r="J6" s="5" t="n">
        <f aca="false">+J5+1</f>
        <v>5</v>
      </c>
      <c r="O6" s="10" t="s">
        <v>57</v>
      </c>
      <c r="S6" s="1" t="s">
        <v>58</v>
      </c>
      <c r="T6" s="10" t="s">
        <v>59</v>
      </c>
      <c r="U6" s="10"/>
      <c r="X6" s="10"/>
      <c r="Y6" s="12" t="s">
        <v>60</v>
      </c>
      <c r="BQ6" s="9" t="s">
        <v>61</v>
      </c>
      <c r="CU6" s="1" t="s">
        <v>62</v>
      </c>
      <c r="CV6" s="1" t="s">
        <v>63</v>
      </c>
    </row>
    <row r="7" customFormat="false" ht="11.25" hidden="false" customHeight="false" outlineLevel="0" collapsed="false">
      <c r="J7" s="5" t="n">
        <f aca="false">+J6+1</f>
        <v>6</v>
      </c>
      <c r="T7" s="10" t="s">
        <v>64</v>
      </c>
      <c r="BQ7" s="9" t="s">
        <v>65</v>
      </c>
      <c r="CU7" s="1" t="s">
        <v>63</v>
      </c>
      <c r="CV7" s="1" t="s">
        <v>63</v>
      </c>
    </row>
    <row r="8" customFormat="false" ht="11.25" hidden="false" customHeight="false" outlineLevel="0" collapsed="false">
      <c r="J8" s="5" t="n">
        <f aca="false">+J7+1</f>
        <v>7</v>
      </c>
      <c r="T8" s="10" t="s">
        <v>66</v>
      </c>
      <c r="BQ8" s="9" t="s">
        <v>67</v>
      </c>
      <c r="CU8" s="1" t="s">
        <v>68</v>
      </c>
      <c r="CV8" s="1" t="s">
        <v>63</v>
      </c>
    </row>
    <row r="9" customFormat="false" ht="11.25" hidden="false" customHeight="false" outlineLevel="0" collapsed="false">
      <c r="J9" s="5" t="n">
        <f aca="false">+J8+1</f>
        <v>8</v>
      </c>
      <c r="T9" s="10" t="s">
        <v>69</v>
      </c>
      <c r="BQ9" s="9" t="s">
        <v>70</v>
      </c>
      <c r="CU9" s="1" t="s">
        <v>71</v>
      </c>
      <c r="CV9" s="1" t="s">
        <v>72</v>
      </c>
    </row>
    <row r="10" customFormat="false" ht="11.25" hidden="false" customHeight="false" outlineLevel="0" collapsed="false">
      <c r="J10" s="5" t="n">
        <f aca="false">+J9+1</f>
        <v>9</v>
      </c>
      <c r="T10" s="10" t="s">
        <v>73</v>
      </c>
      <c r="BQ10" s="9" t="s">
        <v>74</v>
      </c>
      <c r="CU10" s="1" t="s">
        <v>72</v>
      </c>
      <c r="CV10" s="1" t="s">
        <v>72</v>
      </c>
    </row>
    <row r="11" customFormat="false" ht="15" hidden="false" customHeight="true" outlineLevel="0" collapsed="false">
      <c r="A11" s="3" t="s">
        <v>75</v>
      </c>
      <c r="J11" s="5" t="n">
        <f aca="false">+J10+1</f>
        <v>10</v>
      </c>
      <c r="K11" s="6" t="s">
        <v>76</v>
      </c>
      <c r="BQ11" s="9" t="s">
        <v>77</v>
      </c>
      <c r="CU11" s="1" t="s">
        <v>78</v>
      </c>
      <c r="CV11" s="1" t="s">
        <v>72</v>
      </c>
    </row>
    <row r="12" s="14" customFormat="true" ht="15" hidden="false" customHeight="true" outlineLevel="0" collapsed="false">
      <c r="A12" s="13" t="str">
        <f aca="false">+K12</f>
        <v>Factor 1</v>
      </c>
      <c r="B12" s="13" t="str">
        <f aca="false">IF(IFERROR(HLOOKUP(B$2,$M$2:$BL12,$J12,FALSE()),"")="","",IFERROR(HLOOKUP(B$2,$M$2:$BL12,$J12,FALSE()),""))</f>
        <v>Market positioning</v>
      </c>
      <c r="C12" s="13" t="str">
        <f aca="false">IF(IFERROR(HLOOKUP(C$2,$M$2:$BL12,$J12,FALSE()),"")="","",IFERROR(HLOOKUP(C$2,$M$2:$BL12,$J12,FALSE()),""))</f>
        <v/>
      </c>
      <c r="D12" s="13" t="str">
        <f aca="false">IF(IFERROR(HLOOKUP(D$2,$M$2:$BL12,$J12,FALSE()),"")="","",IFERROR(HLOOKUP(D$2,$M$2:$BL12,$J12,FALSE()),""))</f>
        <v/>
      </c>
      <c r="E12" s="13" t="str">
        <f aca="false">IF(IFERROR(HLOOKUP(E$2,$M$2:$BL12,$J12,FALSE()),"")="","",IFERROR(HLOOKUP(E$2,$M$2:$BL12,$J12,FALSE()),""))</f>
        <v/>
      </c>
      <c r="F12" s="13" t="str">
        <f aca="false">IF(IFERROR(HLOOKUP(F$2,$M$2:$BL12,$J12,FALSE()),"")="","",IFERROR(HLOOKUP(F$2,$M$2:$BL12,$J12,FALSE()),""))</f>
        <v/>
      </c>
      <c r="G12" s="13" t="str">
        <f aca="false">IF(IFERROR(HLOOKUP(G$2,$M$2:$BL12,$J12,FALSE()),"")="","",IFERROR(HLOOKUP(G$2,$M$2:$BL12,$J12,FALSE()),""))</f>
        <v/>
      </c>
      <c r="H12" s="13"/>
      <c r="J12" s="15" t="n">
        <f aca="false">+J11+1</f>
        <v>11</v>
      </c>
      <c r="K12" s="14" t="s">
        <v>79</v>
      </c>
      <c r="M12" s="14" t="s">
        <v>80</v>
      </c>
      <c r="N12" s="14" t="s">
        <v>81</v>
      </c>
      <c r="O12" s="14" t="s">
        <v>82</v>
      </c>
      <c r="P12" s="14" t="s">
        <v>83</v>
      </c>
      <c r="Q12" s="14" t="s">
        <v>84</v>
      </c>
      <c r="R12" s="14" t="s">
        <v>85</v>
      </c>
      <c r="S12" s="14" t="s">
        <v>86</v>
      </c>
      <c r="T12" s="16" t="s">
        <v>85</v>
      </c>
      <c r="V12" s="14" t="s">
        <v>87</v>
      </c>
      <c r="W12" s="14" t="s">
        <v>88</v>
      </c>
      <c r="X12" s="14" t="s">
        <v>89</v>
      </c>
      <c r="Y12" s="14" t="s">
        <v>90</v>
      </c>
      <c r="Z12" s="14" t="s">
        <v>91</v>
      </c>
      <c r="BQ12" s="9" t="s">
        <v>92</v>
      </c>
      <c r="CU12" s="14" t="s">
        <v>93</v>
      </c>
      <c r="CV12" s="14" t="s">
        <v>94</v>
      </c>
    </row>
    <row r="13" customFormat="false" ht="15" hidden="false" customHeight="true" outlineLevel="0" collapsed="false">
      <c r="A13" s="1" t="str">
        <f aca="false">+L13</f>
        <v>AA and above</v>
      </c>
      <c r="B13" s="1" t="str">
        <f aca="false">IF(IFERROR(HLOOKUP(B$2,$M$2:$BL13,$J13,FALSE()),"")="","",IFERROR(HLOOKUP(B$2,$M$2:$BL13,$J13,FALSE()),""))</f>
        <v>Global market leader positions</v>
      </c>
      <c r="C13" s="1" t="str">
        <f aca="false">IF(IFERROR(HLOOKUP(C$2,$M$2:$BL13,$J13,FALSE()),"")="","",IFERROR(HLOOKUP(C$2,$M$2:$BL13,$J13,FALSE()),""))</f>
        <v/>
      </c>
      <c r="D13" s="1" t="str">
        <f aca="false">IF(IFERROR(HLOOKUP(D$2,$M$2:$BL13,$J13,FALSE()),"")="","",IFERROR(HLOOKUP(D$2,$M$2:$BL13,$J13,FALSE()),""))</f>
        <v/>
      </c>
      <c r="E13" s="1" t="str">
        <f aca="false">IF(IFERROR(HLOOKUP(E$2,$M$2:$BL13,$J13,FALSE()),"")="","",IFERROR(HLOOKUP(E$2,$M$2:$BL13,$J13,FALSE()),""))</f>
        <v/>
      </c>
      <c r="F13" s="1" t="str">
        <f aca="false">IF(IFERROR(HLOOKUP(F$2,$M$2:$BL13,$J13,FALSE()),"")="","",IFERROR(HLOOKUP(F$2,$M$2:$BL13,$J13,FALSE()),""))</f>
        <v/>
      </c>
      <c r="G13" s="1" t="str">
        <f aca="false">IF(IFERROR(HLOOKUP(G$2,$M$2:$BL13,$J13,FALSE()),"")="","",IFERROR(HLOOKUP(G$2,$M$2:$BL13,$J13,FALSE()),""))</f>
        <v/>
      </c>
      <c r="J13" s="5" t="n">
        <f aca="false">+J12+1</f>
        <v>12</v>
      </c>
      <c r="L13" s="1" t="s">
        <v>30</v>
      </c>
      <c r="M13" s="1" t="s">
        <v>95</v>
      </c>
      <c r="N13" s="17" t="s">
        <v>96</v>
      </c>
      <c r="O13" s="1" t="s">
        <v>97</v>
      </c>
      <c r="P13" s="1" t="s">
        <v>98</v>
      </c>
      <c r="Q13" s="1" t="s">
        <v>99</v>
      </c>
      <c r="R13" s="1" t="s">
        <v>100</v>
      </c>
      <c r="S13" s="1" t="s">
        <v>101</v>
      </c>
      <c r="T13" s="1" t="s">
        <v>102</v>
      </c>
      <c r="V13" s="1" t="s">
        <v>103</v>
      </c>
      <c r="W13" s="1" t="s">
        <v>104</v>
      </c>
      <c r="X13" s="1" t="s">
        <v>105</v>
      </c>
      <c r="Y13" s="1" t="s">
        <v>106</v>
      </c>
      <c r="Z13" s="1" t="s">
        <v>107</v>
      </c>
      <c r="BQ13" s="9" t="s">
        <v>108</v>
      </c>
      <c r="CU13" s="1" t="s">
        <v>94</v>
      </c>
      <c r="CV13" s="1" t="s">
        <v>94</v>
      </c>
    </row>
    <row r="14" customFormat="false" ht="15" hidden="false" customHeight="true" outlineLevel="0" collapsed="false">
      <c r="A14" s="1" t="str">
        <f aca="false">+L14</f>
        <v>A</v>
      </c>
      <c r="B14" s="1" t="str">
        <f aca="false">IF(IFERROR(HLOOKUP(B$2,$M$2:$BL14,$J14,FALSE()),"")="","",IFERROR(HLOOKUP(B$2,$M$2:$BL14,$J14,FALSE()),""))</f>
        <v>High international market shares (top three) in all product categories</v>
      </c>
      <c r="C14" s="1" t="str">
        <f aca="false">IF(IFERROR(HLOOKUP(C$2,$M$2:$BL14,$J14,FALSE()),"")="","",IFERROR(HLOOKUP(C$2,$M$2:$BL14,$J14,FALSE()),""))</f>
        <v/>
      </c>
      <c r="D14" s="1" t="str">
        <f aca="false">IF(IFERROR(HLOOKUP(D$2,$M$2:$BL14,$J14,FALSE()),"")="","",IFERROR(HLOOKUP(D$2,$M$2:$BL14,$J14,FALSE()),""))</f>
        <v/>
      </c>
      <c r="E14" s="1" t="str">
        <f aca="false">IF(IFERROR(HLOOKUP(E$2,$M$2:$BL14,$J14,FALSE()),"")="","",IFERROR(HLOOKUP(E$2,$M$2:$BL14,$J14,FALSE()),""))</f>
        <v/>
      </c>
      <c r="F14" s="1" t="str">
        <f aca="false">IF(IFERROR(HLOOKUP(F$2,$M$2:$BL14,$J14,FALSE()),"")="","",IFERROR(HLOOKUP(F$2,$M$2:$BL14,$J14,FALSE()),""))</f>
        <v/>
      </c>
      <c r="G14" s="1" t="str">
        <f aca="false">IF(IFERROR(HLOOKUP(G$2,$M$2:$BL14,$J14,FALSE()),"")="","",IFERROR(HLOOKUP(G$2,$M$2:$BL14,$J14,FALSE()),""))</f>
        <v/>
      </c>
      <c r="J14" s="5" t="n">
        <f aca="false">+J13+1</f>
        <v>13</v>
      </c>
      <c r="L14" s="1" t="s">
        <v>63</v>
      </c>
      <c r="M14" s="1" t="s">
        <v>109</v>
      </c>
      <c r="N14" s="17" t="s">
        <v>110</v>
      </c>
      <c r="O14" s="1" t="s">
        <v>111</v>
      </c>
      <c r="P14" s="1" t="s">
        <v>112</v>
      </c>
      <c r="Q14" s="1" t="s">
        <v>113</v>
      </c>
      <c r="R14" s="1" t="s">
        <v>114</v>
      </c>
      <c r="S14" s="1" t="s">
        <v>115</v>
      </c>
      <c r="T14" s="1" t="s">
        <v>116</v>
      </c>
      <c r="V14" s="1" t="s">
        <v>117</v>
      </c>
      <c r="W14" s="1" t="s">
        <v>118</v>
      </c>
      <c r="X14" s="1" t="s">
        <v>119</v>
      </c>
      <c r="Y14" s="1" t="s">
        <v>120</v>
      </c>
      <c r="Z14" s="1" t="s">
        <v>121</v>
      </c>
      <c r="CU14" s="1" t="s">
        <v>122</v>
      </c>
      <c r="CV14" s="1" t="s">
        <v>94</v>
      </c>
    </row>
    <row r="15" customFormat="false" ht="15" hidden="false" customHeight="true" outlineLevel="0" collapsed="false">
      <c r="A15" s="1" t="str">
        <f aca="false">+L15</f>
        <v>BBB</v>
      </c>
      <c r="B15" s="1" t="str">
        <f aca="false">IF(IFERROR(HLOOKUP(B$2,$M$2:$BL15,$J15,FALSE()),"")="","",IFERROR(HLOOKUP(B$2,$M$2:$BL15,$J15,FALSE()),""))</f>
        <v>Good international market shares (top 10) in most product categories</v>
      </c>
      <c r="C15" s="1" t="str">
        <f aca="false">IF(IFERROR(HLOOKUP(C$2,$M$2:$BL15,$J15,FALSE()),"")="","",IFERROR(HLOOKUP(C$2,$M$2:$BL15,$J15,FALSE()),""))</f>
        <v/>
      </c>
      <c r="D15" s="1" t="str">
        <f aca="false">IF(IFERROR(HLOOKUP(D$2,$M$2:$BL15,$J15,FALSE()),"")="","",IFERROR(HLOOKUP(D$2,$M$2:$BL15,$J15,FALSE()),""))</f>
        <v/>
      </c>
      <c r="E15" s="1" t="str">
        <f aca="false">IF(IFERROR(HLOOKUP(E$2,$M$2:$BL15,$J15,FALSE()),"")="","",IFERROR(HLOOKUP(E$2,$M$2:$BL15,$J15,FALSE()),""))</f>
        <v/>
      </c>
      <c r="F15" s="1" t="str">
        <f aca="false">IF(IFERROR(HLOOKUP(F$2,$M$2:$BL15,$J15,FALSE()),"")="","",IFERROR(HLOOKUP(F$2,$M$2:$BL15,$J15,FALSE()),""))</f>
        <v/>
      </c>
      <c r="G15" s="1" t="str">
        <f aca="false">IF(IFERROR(HLOOKUP(G$2,$M$2:$BL15,$J15,FALSE()),"")="","",IFERROR(HLOOKUP(G$2,$M$2:$BL15,$J15,FALSE()),""))</f>
        <v/>
      </c>
      <c r="J15" s="5" t="n">
        <f aca="false">+J14+1</f>
        <v>14</v>
      </c>
      <c r="L15" s="1" t="s">
        <v>72</v>
      </c>
      <c r="M15" s="1" t="s">
        <v>123</v>
      </c>
      <c r="N15" s="17" t="s">
        <v>124</v>
      </c>
      <c r="O15" s="1" t="s">
        <v>125</v>
      </c>
      <c r="P15" s="1" t="s">
        <v>126</v>
      </c>
      <c r="Q15" s="1" t="s">
        <v>127</v>
      </c>
      <c r="R15" s="1" t="s">
        <v>128</v>
      </c>
      <c r="S15" s="1" t="s">
        <v>129</v>
      </c>
      <c r="T15" s="1" t="s">
        <v>130</v>
      </c>
      <c r="V15" s="1" t="s">
        <v>131</v>
      </c>
      <c r="W15" s="1" t="s">
        <v>132</v>
      </c>
      <c r="X15" s="1" t="s">
        <v>133</v>
      </c>
      <c r="Y15" s="1" t="s">
        <v>120</v>
      </c>
      <c r="Z15" s="1" t="s">
        <v>134</v>
      </c>
      <c r="CU15" s="1" t="s">
        <v>135</v>
      </c>
      <c r="CV15" s="1" t="s">
        <v>136</v>
      </c>
    </row>
    <row r="16" customFormat="false" ht="15" hidden="false" customHeight="true" outlineLevel="0" collapsed="false">
      <c r="A16" s="1" t="str">
        <f aca="false">+L16</f>
        <v>BB</v>
      </c>
      <c r="B16" s="1" t="str">
        <f aca="false">IF(IFERROR(HLOOKUP(B$2,$M$2:$BL16,$J16,FALSE()),"")="","",IFERROR(HLOOKUP(B$2,$M$2:$BL16,$J16,FALSE()),""))</f>
        <v>High domestic market shares in most product categories</v>
      </c>
      <c r="C16" s="1" t="str">
        <f aca="false">IF(IFERROR(HLOOKUP(C$2,$M$2:$BL16,$J16,FALSE()),"")="","",IFERROR(HLOOKUP(C$2,$M$2:$BL16,$J16,FALSE()),""))</f>
        <v/>
      </c>
      <c r="D16" s="1" t="str">
        <f aca="false">IF(IFERROR(HLOOKUP(D$2,$M$2:$BL16,$J16,FALSE()),"")="","",IFERROR(HLOOKUP(D$2,$M$2:$BL16,$J16,FALSE()),""))</f>
        <v/>
      </c>
      <c r="E16" s="1" t="str">
        <f aca="false">IF(IFERROR(HLOOKUP(E$2,$M$2:$BL16,$J16,FALSE()),"")="","",IFERROR(HLOOKUP(E$2,$M$2:$BL16,$J16,FALSE()),""))</f>
        <v/>
      </c>
      <c r="F16" s="1" t="str">
        <f aca="false">IF(IFERROR(HLOOKUP(F$2,$M$2:$BL16,$J16,FALSE()),"")="","",IFERROR(HLOOKUP(F$2,$M$2:$BL16,$J16,FALSE()),""))</f>
        <v/>
      </c>
      <c r="G16" s="1" t="str">
        <f aca="false">IF(IFERROR(HLOOKUP(G$2,$M$2:$BL16,$J16,FALSE()),"")="","",IFERROR(HLOOKUP(G$2,$M$2:$BL16,$J16,FALSE()),""))</f>
        <v/>
      </c>
      <c r="J16" s="5" t="n">
        <f aca="false">+J15+1</f>
        <v>15</v>
      </c>
      <c r="L16" s="1" t="s">
        <v>94</v>
      </c>
      <c r="M16" s="1" t="s">
        <v>137</v>
      </c>
      <c r="N16" s="17" t="s">
        <v>138</v>
      </c>
      <c r="O16" s="1" t="s">
        <v>139</v>
      </c>
      <c r="P16" s="1" t="s">
        <v>140</v>
      </c>
      <c r="Q16" s="1" t="s">
        <v>141</v>
      </c>
      <c r="R16" s="1" t="s">
        <v>142</v>
      </c>
      <c r="S16" s="1" t="s">
        <v>143</v>
      </c>
      <c r="T16" s="1" t="s">
        <v>144</v>
      </c>
      <c r="V16" s="1" t="s">
        <v>145</v>
      </c>
      <c r="W16" s="1" t="s">
        <v>146</v>
      </c>
      <c r="X16" s="18" t="s">
        <v>147</v>
      </c>
      <c r="Y16" s="1" t="s">
        <v>120</v>
      </c>
      <c r="Z16" s="1" t="s">
        <v>148</v>
      </c>
      <c r="CU16" s="1" t="s">
        <v>136</v>
      </c>
      <c r="CV16" s="1" t="s">
        <v>136</v>
      </c>
    </row>
    <row r="17" customFormat="false" ht="15" hidden="false" customHeight="true" outlineLevel="0" collapsed="false">
      <c r="A17" s="1" t="str">
        <f aca="false">+L17</f>
        <v>B</v>
      </c>
      <c r="B17" s="1" t="str">
        <f aca="false">IF(IFERROR(HLOOKUP(B$2,$M$2:$BL17,$J17,FALSE()),"")="","",IFERROR(HLOOKUP(B$2,$M$2:$BL17,$J17,FALSE()),""))</f>
        <v>Low market shares in most product categories</v>
      </c>
      <c r="C17" s="1" t="str">
        <f aca="false">IF(IFERROR(HLOOKUP(C$2,$M$2:$BL17,$J17,FALSE()),"")="","",IFERROR(HLOOKUP(C$2,$M$2:$BL17,$J17,FALSE()),""))</f>
        <v/>
      </c>
      <c r="D17" s="1" t="str">
        <f aca="false">IF(IFERROR(HLOOKUP(D$2,$M$2:$BL17,$J17,FALSE()),"")="","",IFERROR(HLOOKUP(D$2,$M$2:$BL17,$J17,FALSE()),""))</f>
        <v/>
      </c>
      <c r="E17" s="1" t="str">
        <f aca="false">IF(IFERROR(HLOOKUP(E$2,$M$2:$BL17,$J17,FALSE()),"")="","",IFERROR(HLOOKUP(E$2,$M$2:$BL17,$J17,FALSE()),""))</f>
        <v/>
      </c>
      <c r="F17" s="1" t="str">
        <f aca="false">IF(IFERROR(HLOOKUP(F$2,$M$2:$BL17,$J17,FALSE()),"")="","",IFERROR(HLOOKUP(F$2,$M$2:$BL17,$J17,FALSE()),""))</f>
        <v/>
      </c>
      <c r="G17" s="1" t="str">
        <f aca="false">IF(IFERROR(HLOOKUP(G$2,$M$2:$BL17,$J17,FALSE()),"")="","",IFERROR(HLOOKUP(G$2,$M$2:$BL17,$J17,FALSE()),""))</f>
        <v/>
      </c>
      <c r="J17" s="5" t="n">
        <f aca="false">+J16+1</f>
        <v>16</v>
      </c>
      <c r="L17" s="1" t="s">
        <v>136</v>
      </c>
      <c r="M17" s="1" t="s">
        <v>149</v>
      </c>
      <c r="N17" s="17" t="s">
        <v>150</v>
      </c>
      <c r="O17" s="1" t="s">
        <v>151</v>
      </c>
      <c r="P17" s="1" t="s">
        <v>152</v>
      </c>
      <c r="Q17" s="1" t="s">
        <v>153</v>
      </c>
      <c r="R17" s="1" t="s">
        <v>154</v>
      </c>
      <c r="S17" s="1" t="s">
        <v>155</v>
      </c>
      <c r="T17" s="1" t="s">
        <v>156</v>
      </c>
      <c r="V17" s="1" t="s">
        <v>157</v>
      </c>
      <c r="W17" s="1" t="s">
        <v>158</v>
      </c>
      <c r="X17" s="1" t="s">
        <v>159</v>
      </c>
      <c r="Y17" s="1" t="s">
        <v>160</v>
      </c>
      <c r="Z17" s="1" t="s">
        <v>161</v>
      </c>
      <c r="CU17" s="1" t="s">
        <v>162</v>
      </c>
      <c r="CV17" s="1" t="s">
        <v>136</v>
      </c>
    </row>
    <row r="18" customFormat="false" ht="15" hidden="false" customHeight="true" outlineLevel="0" collapsed="false">
      <c r="A18" s="1" t="str">
        <f aca="false">+L18</f>
        <v>CCC and below</v>
      </c>
      <c r="B18" s="1" t="str">
        <f aca="false">IF(IFERROR(HLOOKUP(B$2,$M$2:$BL18,$J18,FALSE()),"")="","",IFERROR(HLOOKUP(B$2,$M$2:$BL18,$J18,FALSE()),""))</f>
        <v>Weak market shares in all product categories</v>
      </c>
      <c r="C18" s="1" t="str">
        <f aca="false">IF(IFERROR(HLOOKUP(C$2,$M$2:$BL18,$J18,FALSE()),"")="","",IFERROR(HLOOKUP(C$2,$M$2:$BL18,$J18,FALSE()),""))</f>
        <v/>
      </c>
      <c r="D18" s="1" t="str">
        <f aca="false">IF(IFERROR(HLOOKUP(D$2,$M$2:$BL18,$J18,FALSE()),"")="","",IFERROR(HLOOKUP(D$2,$M$2:$BL18,$J18,FALSE()),""))</f>
        <v/>
      </c>
      <c r="E18" s="1" t="str">
        <f aca="false">IF(IFERROR(HLOOKUP(E$2,$M$2:$BL18,$J18,FALSE()),"")="","",IFERROR(HLOOKUP(E$2,$M$2:$BL18,$J18,FALSE()),""))</f>
        <v/>
      </c>
      <c r="F18" s="1" t="str">
        <f aca="false">IF(IFERROR(HLOOKUP(F$2,$M$2:$BL18,$J18,FALSE()),"")="","",IFERROR(HLOOKUP(F$2,$M$2:$BL18,$J18,FALSE()),""))</f>
        <v/>
      </c>
      <c r="G18" s="1" t="str">
        <f aca="false">IF(IFERROR(HLOOKUP(G$2,$M$2:$BL18,$J18,FALSE()),"")="","",IFERROR(HLOOKUP(G$2,$M$2:$BL18,$J18,FALSE()),""))</f>
        <v/>
      </c>
      <c r="J18" s="5" t="n">
        <f aca="false">+J17+1</f>
        <v>17</v>
      </c>
      <c r="L18" s="1" t="s">
        <v>163</v>
      </c>
      <c r="M18" s="1" t="s">
        <v>164</v>
      </c>
      <c r="N18" s="17" t="s">
        <v>165</v>
      </c>
      <c r="O18" s="1" t="s">
        <v>166</v>
      </c>
      <c r="P18" s="1" t="s">
        <v>167</v>
      </c>
      <c r="Q18" s="1" t="s">
        <v>168</v>
      </c>
      <c r="R18" s="1" t="s">
        <v>169</v>
      </c>
      <c r="S18" s="1" t="s">
        <v>170</v>
      </c>
      <c r="T18" s="1" t="s">
        <v>103</v>
      </c>
      <c r="V18" s="1" t="s">
        <v>103</v>
      </c>
      <c r="W18" s="1" t="s">
        <v>171</v>
      </c>
      <c r="X18" s="1" t="s">
        <v>103</v>
      </c>
      <c r="Y18" s="1" t="s">
        <v>160</v>
      </c>
      <c r="Z18" s="1" t="s">
        <v>103</v>
      </c>
      <c r="CU18" s="1" t="s">
        <v>172</v>
      </c>
      <c r="CV18" s="1" t="s">
        <v>163</v>
      </c>
    </row>
    <row r="19" s="14" customFormat="true" ht="15" hidden="false" customHeight="true" outlineLevel="0" collapsed="false">
      <c r="A19" s="13" t="str">
        <f aca="false">+K19</f>
        <v>Factor 2</v>
      </c>
      <c r="B19" s="13" t="str">
        <f aca="false">IF(IFERROR(HLOOKUP(B$2,$M$2:$BL19,$J19,FALSE()),"")="","",IFERROR(HLOOKUP(B$2,$M$2:$BL19,$J19,FALSE()),""))</f>
        <v>Size and pricing power</v>
      </c>
      <c r="C19" s="13" t="str">
        <f aca="false">IF(IFERROR(HLOOKUP(C$2,$M$2:$BL19,$J19,FALSE()),"")="","",IFERROR(HLOOKUP(C$2,$M$2:$BL19,$J19,FALSE()),""))</f>
        <v/>
      </c>
      <c r="D19" s="13" t="str">
        <f aca="false">IF(IFERROR(HLOOKUP(D$2,$M$2:$BL19,$J19,FALSE()),"")="","",IFERROR(HLOOKUP(D$2,$M$2:$BL19,$J19,FALSE()),""))</f>
        <v/>
      </c>
      <c r="E19" s="13" t="str">
        <f aca="false">IF(IFERROR(HLOOKUP(E$2,$M$2:$BL19,$J19,FALSE()),"")="","",IFERROR(HLOOKUP(E$2,$M$2:$BL19,$J19,FALSE()),""))</f>
        <v/>
      </c>
      <c r="F19" s="13" t="str">
        <f aca="false">IF(IFERROR(HLOOKUP(F$2,$M$2:$BL19,$J19,FALSE()),"")="","",IFERROR(HLOOKUP(F$2,$M$2:$BL19,$J19,FALSE()),""))</f>
        <v/>
      </c>
      <c r="G19" s="13" t="str">
        <f aca="false">IF(IFERROR(HLOOKUP(G$2,$M$2:$BL19,$J19,FALSE()),"")="","",IFERROR(HLOOKUP(G$2,$M$2:$BL19,$J19,FALSE()),""))</f>
        <v/>
      </c>
      <c r="H19" s="13"/>
      <c r="J19" s="15" t="n">
        <f aca="false">+J18+1</f>
        <v>18</v>
      </c>
      <c r="K19" s="14" t="s">
        <v>173</v>
      </c>
      <c r="M19" s="14" t="s">
        <v>174</v>
      </c>
      <c r="N19" s="14" t="s">
        <v>175</v>
      </c>
      <c r="O19" s="14" t="s">
        <v>176</v>
      </c>
      <c r="P19" s="14" t="s">
        <v>177</v>
      </c>
      <c r="Q19" s="14" t="s">
        <v>85</v>
      </c>
      <c r="R19" s="14" t="s">
        <v>177</v>
      </c>
      <c r="S19" s="14" t="s">
        <v>178</v>
      </c>
      <c r="T19" s="14" t="s">
        <v>179</v>
      </c>
      <c r="V19" s="14" t="s">
        <v>85</v>
      </c>
      <c r="W19" s="14" t="s">
        <v>180</v>
      </c>
      <c r="Y19" s="14" t="s">
        <v>76</v>
      </c>
      <c r="Z19" s="14" t="s">
        <v>181</v>
      </c>
      <c r="CU19" s="14" t="s">
        <v>182</v>
      </c>
      <c r="CV19" s="14" t="s">
        <v>163</v>
      </c>
    </row>
    <row r="20" customFormat="false" ht="15" hidden="false" customHeight="true" outlineLevel="0" collapsed="false">
      <c r="A20" s="1" t="str">
        <f aca="false">+L20</f>
        <v>AA and above</v>
      </c>
      <c r="B20" s="1" t="str">
        <f aca="false">IF(IFERROR(HLOOKUP(B$2,$M$2:$BL20,$J20,FALSE()),"")="","",IFERROR(HLOOKUP(B$2,$M$2:$BL20,$J20,FALSE()),""))</f>
        <v>Very large comparative size (revenue over EUR 25bn), very strong purchasing/ bargaining power and price-setting ability</v>
      </c>
      <c r="C20" s="1" t="str">
        <f aca="false">IF(IFERROR(HLOOKUP(C$2,$M$2:$BL20,$J20,FALSE()),"")="","",IFERROR(HLOOKUP(C$2,$M$2:$BL20,$J20,FALSE()),""))</f>
        <v/>
      </c>
      <c r="D20" s="1" t="str">
        <f aca="false">IF(IFERROR(HLOOKUP(D$2,$M$2:$BL20,$J20,FALSE()),"")="","",IFERROR(HLOOKUP(D$2,$M$2:$BL20,$J20,FALSE()),""))</f>
        <v/>
      </c>
      <c r="E20" s="1" t="str">
        <f aca="false">IF(IFERROR(HLOOKUP(E$2,$M$2:$BL20,$J20,FALSE()),"")="","",IFERROR(HLOOKUP(E$2,$M$2:$BL20,$J20,FALSE()),""))</f>
        <v/>
      </c>
      <c r="F20" s="1" t="str">
        <f aca="false">IF(IFERROR(HLOOKUP(F$2,$M$2:$BL20,$J20,FALSE()),"")="","",IFERROR(HLOOKUP(F$2,$M$2:$BL20,$J20,FALSE()),""))</f>
        <v/>
      </c>
      <c r="G20" s="1" t="str">
        <f aca="false">IF(IFERROR(HLOOKUP(G$2,$M$2:$BL20,$J20,FALSE()),"")="","",IFERROR(HLOOKUP(G$2,$M$2:$BL20,$J20,FALSE()),""))</f>
        <v/>
      </c>
      <c r="J20" s="5" t="n">
        <f aca="false">+J19+1</f>
        <v>19</v>
      </c>
      <c r="L20" s="1" t="s">
        <v>30</v>
      </c>
      <c r="M20" s="1" t="s">
        <v>183</v>
      </c>
      <c r="N20" s="1" t="s">
        <v>184</v>
      </c>
      <c r="O20" s="1" t="s">
        <v>185</v>
      </c>
      <c r="P20" s="1" t="s">
        <v>186</v>
      </c>
      <c r="Q20" s="1" t="s">
        <v>187</v>
      </c>
      <c r="R20" s="1" t="s">
        <v>188</v>
      </c>
      <c r="S20" s="1" t="s">
        <v>189</v>
      </c>
      <c r="T20" s="1" t="s">
        <v>190</v>
      </c>
      <c r="V20" s="1" t="s">
        <v>103</v>
      </c>
      <c r="W20" s="1" t="s">
        <v>191</v>
      </c>
      <c r="Y20" s="1" t="s">
        <v>192</v>
      </c>
      <c r="Z20" s="1" t="s">
        <v>103</v>
      </c>
      <c r="CU20" s="1" t="s">
        <v>193</v>
      </c>
      <c r="CV20" s="1" t="s">
        <v>163</v>
      </c>
    </row>
    <row r="21" customFormat="false" ht="15" hidden="false" customHeight="true" outlineLevel="0" collapsed="false">
      <c r="A21" s="1" t="str">
        <f aca="false">+L21</f>
        <v>A</v>
      </c>
      <c r="B21" s="1" t="str">
        <f aca="false">IF(IFERROR(HLOOKUP(B$2,$M$2:$BL21,$J21,FALSE()),"")="","",IFERROR(HLOOKUP(B$2,$M$2:$BL21,$J21,FALSE()),""))</f>
        <v>Large comparative size (revenue EUR 5bn-25bn), strong purchasing/ bargaining power and price-setting ability</v>
      </c>
      <c r="C21" s="1" t="str">
        <f aca="false">IF(IFERROR(HLOOKUP(C$2,$M$2:$BL21,$J21,FALSE()),"")="","",IFERROR(HLOOKUP(C$2,$M$2:$BL21,$J21,FALSE()),""))</f>
        <v/>
      </c>
      <c r="D21" s="1" t="str">
        <f aca="false">IF(IFERROR(HLOOKUP(D$2,$M$2:$BL21,$J21,FALSE()),"")="","",IFERROR(HLOOKUP(D$2,$M$2:$BL21,$J21,FALSE()),""))</f>
        <v/>
      </c>
      <c r="E21" s="1" t="str">
        <f aca="false">IF(IFERROR(HLOOKUP(E$2,$M$2:$BL21,$J21,FALSE()),"")="","",IFERROR(HLOOKUP(E$2,$M$2:$BL21,$J21,FALSE()),""))</f>
        <v/>
      </c>
      <c r="F21" s="1" t="str">
        <f aca="false">IF(IFERROR(HLOOKUP(F$2,$M$2:$BL21,$J21,FALSE()),"")="","",IFERROR(HLOOKUP(F$2,$M$2:$BL21,$J21,FALSE()),""))</f>
        <v/>
      </c>
      <c r="G21" s="1" t="str">
        <f aca="false">IF(IFERROR(HLOOKUP(G$2,$M$2:$BL21,$J21,FALSE()),"")="","",IFERROR(HLOOKUP(G$2,$M$2:$BL21,$J21,FALSE()),""))</f>
        <v/>
      </c>
      <c r="J21" s="5" t="n">
        <f aca="false">+J20+1</f>
        <v>20</v>
      </c>
      <c r="L21" s="1" t="s">
        <v>63</v>
      </c>
      <c r="M21" s="1" t="s">
        <v>194</v>
      </c>
      <c r="N21" s="1" t="s">
        <v>184</v>
      </c>
      <c r="O21" s="1" t="s">
        <v>195</v>
      </c>
      <c r="P21" s="1" t="s">
        <v>196</v>
      </c>
      <c r="Q21" s="1" t="s">
        <v>187</v>
      </c>
      <c r="R21" s="1" t="s">
        <v>197</v>
      </c>
      <c r="S21" s="1" t="s">
        <v>198</v>
      </c>
      <c r="T21" s="1" t="s">
        <v>199</v>
      </c>
      <c r="V21" s="1" t="s">
        <v>200</v>
      </c>
      <c r="W21" s="1" t="s">
        <v>201</v>
      </c>
      <c r="Y21" s="1" t="s">
        <v>202</v>
      </c>
      <c r="Z21" s="1" t="s">
        <v>103</v>
      </c>
      <c r="CU21" s="1" t="s">
        <v>203</v>
      </c>
      <c r="CV21" s="1" t="s">
        <v>163</v>
      </c>
    </row>
    <row r="22" customFormat="false" ht="15" hidden="false" customHeight="true" outlineLevel="0" collapsed="false">
      <c r="A22" s="1" t="str">
        <f aca="false">+L22</f>
        <v>BBB</v>
      </c>
      <c r="B22" s="1" t="str">
        <f aca="false">IF(IFERROR(HLOOKUP(B$2,$M$2:$BL22,$J22,FALSE()),"")="","",IFERROR(HLOOKUP(B$2,$M$2:$BL22,$J22,FALSE()),""))</f>
        <v>Medium-size company (revenue EUR 1bn-5bn), and/or good purchasing/ bargaining power</v>
      </c>
      <c r="C22" s="1" t="str">
        <f aca="false">IF(IFERROR(HLOOKUP(C$2,$M$2:$BL22,$J22,FALSE()),"")="","",IFERROR(HLOOKUP(C$2,$M$2:$BL22,$J22,FALSE()),""))</f>
        <v/>
      </c>
      <c r="D22" s="1" t="str">
        <f aca="false">IF(IFERROR(HLOOKUP(D$2,$M$2:$BL22,$J22,FALSE()),"")="","",IFERROR(HLOOKUP(D$2,$M$2:$BL22,$J22,FALSE()),""))</f>
        <v/>
      </c>
      <c r="E22" s="1" t="str">
        <f aca="false">IF(IFERROR(HLOOKUP(E$2,$M$2:$BL22,$J22,FALSE()),"")="","",IFERROR(HLOOKUP(E$2,$M$2:$BL22,$J22,FALSE()),""))</f>
        <v/>
      </c>
      <c r="F22" s="1" t="str">
        <f aca="false">IF(IFERROR(HLOOKUP(F$2,$M$2:$BL22,$J22,FALSE()),"")="","",IFERROR(HLOOKUP(F$2,$M$2:$BL22,$J22,FALSE()),""))</f>
        <v/>
      </c>
      <c r="G22" s="1" t="str">
        <f aca="false">IF(IFERROR(HLOOKUP(G$2,$M$2:$BL22,$J22,FALSE()),"")="","",IFERROR(HLOOKUP(G$2,$M$2:$BL22,$J22,FALSE()),""))</f>
        <v/>
      </c>
      <c r="J22" s="5" t="n">
        <f aca="false">+J21+1</f>
        <v>21</v>
      </c>
      <c r="L22" s="1" t="s">
        <v>72</v>
      </c>
      <c r="M22" s="1" t="s">
        <v>194</v>
      </c>
      <c r="N22" s="1" t="s">
        <v>204</v>
      </c>
      <c r="O22" s="1" t="s">
        <v>205</v>
      </c>
      <c r="P22" s="1" t="s">
        <v>206</v>
      </c>
      <c r="Q22" s="1" t="s">
        <v>207</v>
      </c>
      <c r="R22" s="1" t="s">
        <v>208</v>
      </c>
      <c r="S22" s="1" t="s">
        <v>209</v>
      </c>
      <c r="T22" s="1" t="s">
        <v>210</v>
      </c>
      <c r="V22" s="1" t="s">
        <v>211</v>
      </c>
      <c r="W22" s="1" t="s">
        <v>155</v>
      </c>
      <c r="Y22" s="1" t="s">
        <v>202</v>
      </c>
      <c r="Z22" s="1" t="s">
        <v>212</v>
      </c>
      <c r="CU22" s="1" t="s">
        <v>213</v>
      </c>
      <c r="CV22" s="1" t="s">
        <v>163</v>
      </c>
    </row>
    <row r="23" customFormat="false" ht="15" hidden="false" customHeight="true" outlineLevel="0" collapsed="false">
      <c r="A23" s="1" t="str">
        <f aca="false">+L23</f>
        <v>BB</v>
      </c>
      <c r="B23" s="1" t="str">
        <f aca="false">IF(IFERROR(HLOOKUP(B$2,$M$2:$BL23,$J23,FALSE()),"")="","",IFERROR(HLOOKUP(B$2,$M$2:$BL23,$J23,FALSE()),""))</f>
        <v>Below-average size (revenue EUR 250m-1bn), and/or adequate purchasing/bargaining power</v>
      </c>
      <c r="C23" s="1" t="str">
        <f aca="false">IF(IFERROR(HLOOKUP(C$2,$M$2:$BL23,$J23,FALSE()),"")="","",IFERROR(HLOOKUP(C$2,$M$2:$BL23,$J23,FALSE()),""))</f>
        <v/>
      </c>
      <c r="D23" s="1" t="str">
        <f aca="false">IF(IFERROR(HLOOKUP(D$2,$M$2:$BL23,$J23,FALSE()),"")="","",IFERROR(HLOOKUP(D$2,$M$2:$BL23,$J23,FALSE()),""))</f>
        <v/>
      </c>
      <c r="E23" s="1" t="str">
        <f aca="false">IF(IFERROR(HLOOKUP(E$2,$M$2:$BL23,$J23,FALSE()),"")="","",IFERROR(HLOOKUP(E$2,$M$2:$BL23,$J23,FALSE()),""))</f>
        <v/>
      </c>
      <c r="F23" s="1" t="str">
        <f aca="false">IF(IFERROR(HLOOKUP(F$2,$M$2:$BL23,$J23,FALSE()),"")="","",IFERROR(HLOOKUP(F$2,$M$2:$BL23,$J23,FALSE()),""))</f>
        <v/>
      </c>
      <c r="G23" s="1" t="str">
        <f aca="false">IF(IFERROR(HLOOKUP(G$2,$M$2:$BL23,$J23,FALSE()),"")="","",IFERROR(HLOOKUP(G$2,$M$2:$BL23,$J23,FALSE()),""))</f>
        <v/>
      </c>
      <c r="J23" s="5" t="n">
        <f aca="false">+J22+1</f>
        <v>22</v>
      </c>
      <c r="L23" s="1" t="s">
        <v>94</v>
      </c>
      <c r="M23" s="1" t="s">
        <v>214</v>
      </c>
      <c r="N23" s="1" t="s">
        <v>215</v>
      </c>
      <c r="O23" s="1" t="s">
        <v>216</v>
      </c>
      <c r="P23" s="1" t="s">
        <v>217</v>
      </c>
      <c r="Q23" s="1" t="s">
        <v>218</v>
      </c>
      <c r="R23" s="1" t="s">
        <v>219</v>
      </c>
      <c r="S23" s="1" t="s">
        <v>220</v>
      </c>
      <c r="T23" s="1" t="s">
        <v>221</v>
      </c>
      <c r="V23" s="1" t="s">
        <v>222</v>
      </c>
      <c r="W23" s="1" t="s">
        <v>223</v>
      </c>
      <c r="Y23" s="1" t="s">
        <v>224</v>
      </c>
      <c r="Z23" s="1" t="s">
        <v>134</v>
      </c>
    </row>
    <row r="24" customFormat="false" ht="15" hidden="false" customHeight="true" outlineLevel="0" collapsed="false">
      <c r="A24" s="1" t="str">
        <f aca="false">+L24</f>
        <v>B</v>
      </c>
      <c r="B24" s="1" t="str">
        <f aca="false">IF(IFERROR(HLOOKUP(B$2,$M$2:$BL24,$J24,FALSE()),"")="","",IFERROR(HLOOKUP(B$2,$M$2:$BL24,$J24,FALSE()),""))</f>
        <v>Small comparative size (revenue under EUR 250m), somewhat weak purchasing/bargaining power and/or limited ability to set prices </v>
      </c>
      <c r="C24" s="1" t="str">
        <f aca="false">IF(IFERROR(HLOOKUP(C$2,$M$2:$BL24,$J24,FALSE()),"")="","",IFERROR(HLOOKUP(C$2,$M$2:$BL24,$J24,FALSE()),""))</f>
        <v/>
      </c>
      <c r="D24" s="1" t="str">
        <f aca="false">IF(IFERROR(HLOOKUP(D$2,$M$2:$BL24,$J24,FALSE()),"")="","",IFERROR(HLOOKUP(D$2,$M$2:$BL24,$J24,FALSE()),""))</f>
        <v/>
      </c>
      <c r="E24" s="1" t="str">
        <f aca="false">IF(IFERROR(HLOOKUP(E$2,$M$2:$BL24,$J24,FALSE()),"")="","",IFERROR(HLOOKUP(E$2,$M$2:$BL24,$J24,FALSE()),""))</f>
        <v/>
      </c>
      <c r="F24" s="1" t="str">
        <f aca="false">IF(IFERROR(HLOOKUP(F$2,$M$2:$BL24,$J24,FALSE()),"")="","",IFERROR(HLOOKUP(F$2,$M$2:$BL24,$J24,FALSE()),""))</f>
        <v/>
      </c>
      <c r="G24" s="1" t="str">
        <f aca="false">IF(IFERROR(HLOOKUP(G$2,$M$2:$BL24,$J24,FALSE()),"")="","",IFERROR(HLOOKUP(G$2,$M$2:$BL24,$J24,FALSE()),""))</f>
        <v/>
      </c>
      <c r="J24" s="5" t="n">
        <f aca="false">+J23+1</f>
        <v>23</v>
      </c>
      <c r="L24" s="1" t="s">
        <v>136</v>
      </c>
      <c r="M24" s="1" t="s">
        <v>214</v>
      </c>
      <c r="N24" s="1" t="s">
        <v>225</v>
      </c>
      <c r="O24" s="1" t="s">
        <v>226</v>
      </c>
      <c r="P24" s="1" t="s">
        <v>227</v>
      </c>
      <c r="Q24" s="1" t="s">
        <v>228</v>
      </c>
      <c r="R24" s="1" t="s">
        <v>229</v>
      </c>
      <c r="S24" s="1" t="s">
        <v>230</v>
      </c>
      <c r="T24" s="1" t="s">
        <v>231</v>
      </c>
      <c r="V24" s="1" t="s">
        <v>232</v>
      </c>
      <c r="W24" s="1" t="s">
        <v>233</v>
      </c>
      <c r="Y24" s="1" t="s">
        <v>224</v>
      </c>
      <c r="Z24" s="1" t="s">
        <v>148</v>
      </c>
    </row>
    <row r="25" customFormat="false" ht="15" hidden="false" customHeight="true" outlineLevel="0" collapsed="false">
      <c r="A25" s="1" t="str">
        <f aca="false">+L25</f>
        <v>CCC and below</v>
      </c>
      <c r="B25" s="1" t="str">
        <f aca="false">IF(IFERROR(HLOOKUP(B$2,$M$2:$BL25,$J25,FALSE()),"")="","",IFERROR(HLOOKUP(B$2,$M$2:$BL25,$J25,FALSE()),""))</f>
        <v>Small comparative size (revenue under EUR 250m), somewhat weak purchasing/bargaining power and/or limited ability to set prices </v>
      </c>
      <c r="C25" s="1" t="str">
        <f aca="false">IF(IFERROR(HLOOKUP(C$2,$M$2:$BL25,$J25,FALSE()),"")="","",IFERROR(HLOOKUP(C$2,$M$2:$BL25,$J25,FALSE()),""))</f>
        <v/>
      </c>
      <c r="D25" s="1" t="str">
        <f aca="false">IF(IFERROR(HLOOKUP(D$2,$M$2:$BL25,$J25,FALSE()),"")="","",IFERROR(HLOOKUP(D$2,$M$2:$BL25,$J25,FALSE()),""))</f>
        <v/>
      </c>
      <c r="E25" s="1" t="str">
        <f aca="false">IF(IFERROR(HLOOKUP(E$2,$M$2:$BL25,$J25,FALSE()),"")="","",IFERROR(HLOOKUP(E$2,$M$2:$BL25,$J25,FALSE()),""))</f>
        <v/>
      </c>
      <c r="F25" s="1" t="str">
        <f aca="false">IF(IFERROR(HLOOKUP(F$2,$M$2:$BL25,$J25,FALSE()),"")="","",IFERROR(HLOOKUP(F$2,$M$2:$BL25,$J25,FALSE()),""))</f>
        <v/>
      </c>
      <c r="G25" s="1" t="str">
        <f aca="false">IF(IFERROR(HLOOKUP(G$2,$M$2:$BL25,$J25,FALSE()),"")="","",IFERROR(HLOOKUP(G$2,$M$2:$BL25,$J25,FALSE()),""))</f>
        <v/>
      </c>
      <c r="J25" s="5" t="n">
        <f aca="false">+J24+1</f>
        <v>24</v>
      </c>
      <c r="L25" s="1" t="s">
        <v>163</v>
      </c>
      <c r="M25" s="1" t="s">
        <v>234</v>
      </c>
      <c r="N25" s="1" t="s">
        <v>225</v>
      </c>
      <c r="O25" s="1" t="s">
        <v>235</v>
      </c>
      <c r="P25" s="1" t="s">
        <v>227</v>
      </c>
      <c r="Q25" s="1" t="s">
        <v>228</v>
      </c>
      <c r="R25" s="1" t="s">
        <v>236</v>
      </c>
      <c r="S25" s="1" t="s">
        <v>237</v>
      </c>
      <c r="T25" s="1" t="s">
        <v>103</v>
      </c>
      <c r="V25" s="1" t="s">
        <v>103</v>
      </c>
      <c r="W25" s="1" t="s">
        <v>238</v>
      </c>
      <c r="Y25" s="1" t="s">
        <v>224</v>
      </c>
      <c r="Z25" s="1" t="s">
        <v>161</v>
      </c>
    </row>
    <row r="26" s="14" customFormat="true" ht="15" hidden="false" customHeight="true" outlineLevel="0" collapsed="false">
      <c r="A26" s="13" t="str">
        <f aca="false">+K26</f>
        <v>Factor 3</v>
      </c>
      <c r="B26" s="13" t="str">
        <f aca="false">IF(IFERROR(HLOOKUP(B$2,$M$2:$BL26,$J26,FALSE()),"")="","",IFERROR(HLOOKUP(B$2,$M$2:$BL26,$J26,FALSE()),""))</f>
        <v/>
      </c>
      <c r="C26" s="13" t="str">
        <f aca="false">IF(IFERROR(HLOOKUP(C$2,$M$2:$BL26,$J26,FALSE()),"")="","",IFERROR(HLOOKUP(C$2,$M$2:$BL26,$J26,FALSE()),""))</f>
        <v/>
      </c>
      <c r="D26" s="13" t="str">
        <f aca="false">IF(IFERROR(HLOOKUP(D$2,$M$2:$BL26,$J26,FALSE()),"")="","",IFERROR(HLOOKUP(D$2,$M$2:$BL26,$J26,FALSE()),""))</f>
        <v/>
      </c>
      <c r="E26" s="13" t="str">
        <f aca="false">IF(IFERROR(HLOOKUP(E$2,$M$2:$BL26,$J26,FALSE()),"")="","",IFERROR(HLOOKUP(E$2,$M$2:$BL26,$J26,FALSE()),""))</f>
        <v/>
      </c>
      <c r="F26" s="13" t="str">
        <f aca="false">IF(IFERROR(HLOOKUP(F$2,$M$2:$BL26,$J26,FALSE()),"")="","",IFERROR(HLOOKUP(F$2,$M$2:$BL26,$J26,FALSE()),""))</f>
        <v/>
      </c>
      <c r="G26" s="13" t="str">
        <f aca="false">IF(IFERROR(HLOOKUP(G$2,$M$2:$BL26,$J26,FALSE()),"")="","",IFERROR(HLOOKUP(G$2,$M$2:$BL26,$J26,FALSE()),""))</f>
        <v/>
      </c>
      <c r="H26" s="13"/>
      <c r="J26" s="15" t="n">
        <f aca="false">+J25+1</f>
        <v>25</v>
      </c>
      <c r="K26" s="14" t="s">
        <v>239</v>
      </c>
      <c r="N26" s="14" t="s">
        <v>240</v>
      </c>
      <c r="R26" s="14" t="s">
        <v>241</v>
      </c>
      <c r="S26" s="14" t="s">
        <v>242</v>
      </c>
      <c r="T26" s="14" t="s">
        <v>243</v>
      </c>
      <c r="V26" s="14" t="s">
        <v>244</v>
      </c>
      <c r="W26" s="14" t="s">
        <v>245</v>
      </c>
      <c r="Z26" s="14" t="s">
        <v>246</v>
      </c>
    </row>
    <row r="27" customFormat="false" ht="15" hidden="false" customHeight="true" outlineLevel="0" collapsed="false">
      <c r="A27" s="1" t="str">
        <f aca="false">+L27</f>
        <v>AA and above</v>
      </c>
      <c r="B27" s="1" t="str">
        <f aca="false">IF(IFERROR(HLOOKUP(B$2,$M$2:$BL27,$J27,FALSE()),"")="","",IFERROR(HLOOKUP(B$2,$M$2:$BL27,$J27,FALSE()),""))</f>
        <v/>
      </c>
      <c r="C27" s="1" t="str">
        <f aca="false">IF(IFERROR(HLOOKUP(C$2,$M$2:$BL27,$J27,FALSE()),"")="","",IFERROR(HLOOKUP(C$2,$M$2:$BL27,$J27,FALSE()),""))</f>
        <v/>
      </c>
      <c r="D27" s="1" t="str">
        <f aca="false">IF(IFERROR(HLOOKUP(D$2,$M$2:$BL27,$J27,FALSE()),"")="","",IFERROR(HLOOKUP(D$2,$M$2:$BL27,$J27,FALSE()),""))</f>
        <v/>
      </c>
      <c r="E27" s="1" t="str">
        <f aca="false">IF(IFERROR(HLOOKUP(E$2,$M$2:$BL27,$J27,FALSE()),"")="","",IFERROR(HLOOKUP(E$2,$M$2:$BL27,$J27,FALSE()),""))</f>
        <v/>
      </c>
      <c r="F27" s="1" t="str">
        <f aca="false">IF(IFERROR(HLOOKUP(F$2,$M$2:$BL27,$J27,FALSE()),"")="","",IFERROR(HLOOKUP(F$2,$M$2:$BL27,$J27,FALSE()),""))</f>
        <v/>
      </c>
      <c r="G27" s="1" t="str">
        <f aca="false">IF(IFERROR(HLOOKUP(G$2,$M$2:$BL27,$J27,FALSE()),"")="","",IFERROR(HLOOKUP(G$2,$M$2:$BL27,$J27,FALSE()),""))</f>
        <v/>
      </c>
      <c r="J27" s="5" t="n">
        <f aca="false">+J26+1</f>
        <v>26</v>
      </c>
      <c r="L27" s="1" t="s">
        <v>30</v>
      </c>
      <c r="N27" s="17" t="s">
        <v>247</v>
      </c>
      <c r="R27" s="1" t="s">
        <v>248</v>
      </c>
      <c r="S27" s="1" t="s">
        <v>249</v>
      </c>
      <c r="T27" s="18" t="s">
        <v>250</v>
      </c>
      <c r="V27" s="1" t="s">
        <v>103</v>
      </c>
      <c r="W27" s="1" t="s">
        <v>251</v>
      </c>
      <c r="Z27" s="1" t="s">
        <v>103</v>
      </c>
    </row>
    <row r="28" customFormat="false" ht="15" hidden="false" customHeight="true" outlineLevel="0" collapsed="false">
      <c r="A28" s="1" t="str">
        <f aca="false">+L28</f>
        <v>A</v>
      </c>
      <c r="B28" s="1" t="str">
        <f aca="false">IF(IFERROR(HLOOKUP(B$2,$M$2:$BL28,$J28,FALSE()),"")="","",IFERROR(HLOOKUP(B$2,$M$2:$BL28,$J28,FALSE()),""))</f>
        <v/>
      </c>
      <c r="C28" s="1" t="str">
        <f aca="false">IF(IFERROR(HLOOKUP(C$2,$M$2:$BL28,$J28,FALSE()),"")="","",IFERROR(HLOOKUP(C$2,$M$2:$BL28,$J28,FALSE()),""))</f>
        <v/>
      </c>
      <c r="D28" s="1" t="str">
        <f aca="false">IF(IFERROR(HLOOKUP(D$2,$M$2:$BL28,$J28,FALSE()),"")="","",IFERROR(HLOOKUP(D$2,$M$2:$BL28,$J28,FALSE()),""))</f>
        <v/>
      </c>
      <c r="E28" s="1" t="str">
        <f aca="false">IF(IFERROR(HLOOKUP(E$2,$M$2:$BL28,$J28,FALSE()),"")="","",IFERROR(HLOOKUP(E$2,$M$2:$BL28,$J28,FALSE()),""))</f>
        <v/>
      </c>
      <c r="F28" s="1" t="str">
        <f aca="false">IF(IFERROR(HLOOKUP(F$2,$M$2:$BL28,$J28,FALSE()),"")="","",IFERROR(HLOOKUP(F$2,$M$2:$BL28,$J28,FALSE()),""))</f>
        <v/>
      </c>
      <c r="G28" s="1" t="str">
        <f aca="false">IF(IFERROR(HLOOKUP(G$2,$M$2:$BL28,$J28,FALSE()),"")="","",IFERROR(HLOOKUP(G$2,$M$2:$BL28,$J28,FALSE()),""))</f>
        <v/>
      </c>
      <c r="J28" s="5" t="n">
        <f aca="false">+J27+1</f>
        <v>27</v>
      </c>
      <c r="L28" s="1" t="s">
        <v>63</v>
      </c>
      <c r="N28" s="17" t="s">
        <v>252</v>
      </c>
      <c r="R28" s="1" t="s">
        <v>248</v>
      </c>
      <c r="S28" s="1" t="s">
        <v>253</v>
      </c>
      <c r="T28" s="1" t="s">
        <v>134</v>
      </c>
      <c r="V28" s="1" t="s">
        <v>254</v>
      </c>
      <c r="W28" s="1" t="s">
        <v>255</v>
      </c>
      <c r="Z28" s="1" t="s">
        <v>103</v>
      </c>
    </row>
    <row r="29" customFormat="false" ht="15" hidden="false" customHeight="true" outlineLevel="0" collapsed="false">
      <c r="A29" s="1" t="str">
        <f aca="false">+L29</f>
        <v>BBB</v>
      </c>
      <c r="B29" s="1" t="str">
        <f aca="false">IF(IFERROR(HLOOKUP(B$2,$M$2:$BL29,$J29,FALSE()),"")="","",IFERROR(HLOOKUP(B$2,$M$2:$BL29,$J29,FALSE()),""))</f>
        <v/>
      </c>
      <c r="C29" s="1" t="str">
        <f aca="false">IF(IFERROR(HLOOKUP(C$2,$M$2:$BL29,$J29,FALSE()),"")="","",IFERROR(HLOOKUP(C$2,$M$2:$BL29,$J29,FALSE()),""))</f>
        <v/>
      </c>
      <c r="D29" s="1" t="str">
        <f aca="false">IF(IFERROR(HLOOKUP(D$2,$M$2:$BL29,$J29,FALSE()),"")="","",IFERROR(HLOOKUP(D$2,$M$2:$BL29,$J29,FALSE()),""))</f>
        <v/>
      </c>
      <c r="E29" s="1" t="str">
        <f aca="false">IF(IFERROR(HLOOKUP(E$2,$M$2:$BL29,$J29,FALSE()),"")="","",IFERROR(HLOOKUP(E$2,$M$2:$BL29,$J29,FALSE()),""))</f>
        <v/>
      </c>
      <c r="F29" s="1" t="str">
        <f aca="false">IF(IFERROR(HLOOKUP(F$2,$M$2:$BL29,$J29,FALSE()),"")="","",IFERROR(HLOOKUP(F$2,$M$2:$BL29,$J29,FALSE()),""))</f>
        <v/>
      </c>
      <c r="G29" s="1" t="str">
        <f aca="false">IF(IFERROR(HLOOKUP(G$2,$M$2:$BL29,$J29,FALSE()),"")="","",IFERROR(HLOOKUP(G$2,$M$2:$BL29,$J29,FALSE()),""))</f>
        <v/>
      </c>
      <c r="J29" s="5" t="n">
        <f aca="false">+J28+1</f>
        <v>28</v>
      </c>
      <c r="L29" s="1" t="s">
        <v>72</v>
      </c>
      <c r="N29" s="17" t="s">
        <v>256</v>
      </c>
      <c r="R29" s="1" t="s">
        <v>257</v>
      </c>
      <c r="S29" s="1" t="s">
        <v>258</v>
      </c>
      <c r="T29" s="1" t="s">
        <v>259</v>
      </c>
      <c r="V29" s="1" t="s">
        <v>254</v>
      </c>
      <c r="W29" s="1" t="s">
        <v>260</v>
      </c>
      <c r="Z29" s="1" t="s">
        <v>103</v>
      </c>
    </row>
    <row r="30" customFormat="false" ht="15" hidden="false" customHeight="true" outlineLevel="0" collapsed="false">
      <c r="A30" s="1" t="str">
        <f aca="false">+L30</f>
        <v>BB</v>
      </c>
      <c r="B30" s="1" t="str">
        <f aca="false">IF(IFERROR(HLOOKUP(B$2,$M$2:$BL30,$J30,FALSE()),"")="","",IFERROR(HLOOKUP(B$2,$M$2:$BL30,$J30,FALSE()),""))</f>
        <v/>
      </c>
      <c r="C30" s="1" t="str">
        <f aca="false">IF(IFERROR(HLOOKUP(C$2,$M$2:$BL30,$J30,FALSE()),"")="","",IFERROR(HLOOKUP(C$2,$M$2:$BL30,$J30,FALSE()),""))</f>
        <v/>
      </c>
      <c r="D30" s="1" t="str">
        <f aca="false">IF(IFERROR(HLOOKUP(D$2,$M$2:$BL30,$J30,FALSE()),"")="","",IFERROR(HLOOKUP(D$2,$M$2:$BL30,$J30,FALSE()),""))</f>
        <v/>
      </c>
      <c r="E30" s="1" t="str">
        <f aca="false">IF(IFERROR(HLOOKUP(E$2,$M$2:$BL30,$J30,FALSE()),"")="","",IFERROR(HLOOKUP(E$2,$M$2:$BL30,$J30,FALSE()),""))</f>
        <v/>
      </c>
      <c r="F30" s="1" t="str">
        <f aca="false">IF(IFERROR(HLOOKUP(F$2,$M$2:$BL30,$J30,FALSE()),"")="","",IFERROR(HLOOKUP(F$2,$M$2:$BL30,$J30,FALSE()),""))</f>
        <v/>
      </c>
      <c r="G30" s="1" t="str">
        <f aca="false">IF(IFERROR(HLOOKUP(G$2,$M$2:$BL30,$J30,FALSE()),"")="","",IFERROR(HLOOKUP(G$2,$M$2:$BL30,$J30,FALSE()),""))</f>
        <v/>
      </c>
      <c r="J30" s="5" t="n">
        <f aca="false">+J29+1</f>
        <v>29</v>
      </c>
      <c r="L30" s="1" t="s">
        <v>94</v>
      </c>
      <c r="N30" s="17" t="s">
        <v>261</v>
      </c>
      <c r="R30" s="1" t="s">
        <v>262</v>
      </c>
      <c r="S30" s="1" t="s">
        <v>263</v>
      </c>
      <c r="T30" s="1" t="s">
        <v>264</v>
      </c>
      <c r="V30" s="1" t="s">
        <v>265</v>
      </c>
      <c r="W30" s="1" t="s">
        <v>266</v>
      </c>
      <c r="X30" s="18"/>
      <c r="Y30" s="18"/>
      <c r="Z30" s="1" t="s">
        <v>134</v>
      </c>
    </row>
    <row r="31" customFormat="false" ht="15" hidden="false" customHeight="true" outlineLevel="0" collapsed="false">
      <c r="A31" s="1" t="str">
        <f aca="false">+L31</f>
        <v>B</v>
      </c>
      <c r="B31" s="1" t="str">
        <f aca="false">IF(IFERROR(HLOOKUP(B$2,$M$2:$BL31,$J31,FALSE()),"")="","",IFERROR(HLOOKUP(B$2,$M$2:$BL31,$J31,FALSE()),""))</f>
        <v/>
      </c>
      <c r="C31" s="1" t="str">
        <f aca="false">IF(IFERROR(HLOOKUP(C$2,$M$2:$BL31,$J31,FALSE()),"")="","",IFERROR(HLOOKUP(C$2,$M$2:$BL31,$J31,FALSE()),""))</f>
        <v/>
      </c>
      <c r="D31" s="1" t="str">
        <f aca="false">IF(IFERROR(HLOOKUP(D$2,$M$2:$BL31,$J31,FALSE()),"")="","",IFERROR(HLOOKUP(D$2,$M$2:$BL31,$J31,FALSE()),""))</f>
        <v/>
      </c>
      <c r="E31" s="1" t="str">
        <f aca="false">IF(IFERROR(HLOOKUP(E$2,$M$2:$BL31,$J31,FALSE()),"")="","",IFERROR(HLOOKUP(E$2,$M$2:$BL31,$J31,FALSE()),""))</f>
        <v/>
      </c>
      <c r="F31" s="1" t="str">
        <f aca="false">IF(IFERROR(HLOOKUP(F$2,$M$2:$BL31,$J31,FALSE()),"")="","",IFERROR(HLOOKUP(F$2,$M$2:$BL31,$J31,FALSE()),""))</f>
        <v/>
      </c>
      <c r="G31" s="1" t="str">
        <f aca="false">IF(IFERROR(HLOOKUP(G$2,$M$2:$BL31,$J31,FALSE()),"")="","",IFERROR(HLOOKUP(G$2,$M$2:$BL31,$J31,FALSE()),""))</f>
        <v/>
      </c>
      <c r="J31" s="5" t="n">
        <f aca="false">+J30+1</f>
        <v>30</v>
      </c>
      <c r="L31" s="1" t="s">
        <v>136</v>
      </c>
      <c r="N31" s="17" t="s">
        <v>267</v>
      </c>
      <c r="R31" s="1" t="s">
        <v>268</v>
      </c>
      <c r="S31" s="1" t="s">
        <v>269</v>
      </c>
      <c r="T31" s="1" t="s">
        <v>161</v>
      </c>
      <c r="V31" s="1" t="s">
        <v>265</v>
      </c>
      <c r="W31" s="1" t="s">
        <v>270</v>
      </c>
      <c r="Z31" s="1" t="s">
        <v>148</v>
      </c>
    </row>
    <row r="32" customFormat="false" ht="15" hidden="false" customHeight="true" outlineLevel="0" collapsed="false">
      <c r="A32" s="1" t="str">
        <f aca="false">+L32</f>
        <v>CCC and below</v>
      </c>
      <c r="B32" s="1" t="str">
        <f aca="false">IF(IFERROR(HLOOKUP(B$2,$M$2:$BL32,$J32,FALSE()),"")="","",IFERROR(HLOOKUP(B$2,$M$2:$BL32,$J32,FALSE()),""))</f>
        <v/>
      </c>
      <c r="C32" s="1" t="str">
        <f aca="false">IF(IFERROR(HLOOKUP(C$2,$M$2:$BL32,$J32,FALSE()),"")="","",IFERROR(HLOOKUP(C$2,$M$2:$BL32,$J32,FALSE()),""))</f>
        <v/>
      </c>
      <c r="D32" s="1" t="str">
        <f aca="false">IF(IFERROR(HLOOKUP(D$2,$M$2:$BL32,$J32,FALSE()),"")="","",IFERROR(HLOOKUP(D$2,$M$2:$BL32,$J32,FALSE()),""))</f>
        <v/>
      </c>
      <c r="E32" s="1" t="str">
        <f aca="false">IF(IFERROR(HLOOKUP(E$2,$M$2:$BL32,$J32,FALSE()),"")="","",IFERROR(HLOOKUP(E$2,$M$2:$BL32,$J32,FALSE()),""))</f>
        <v/>
      </c>
      <c r="F32" s="1" t="str">
        <f aca="false">IF(IFERROR(HLOOKUP(F$2,$M$2:$BL32,$J32,FALSE()),"")="","",IFERROR(HLOOKUP(F$2,$M$2:$BL32,$J32,FALSE()),""))</f>
        <v/>
      </c>
      <c r="G32" s="1" t="str">
        <f aca="false">IF(IFERROR(HLOOKUP(G$2,$M$2:$BL32,$J32,FALSE()),"")="","",IFERROR(HLOOKUP(G$2,$M$2:$BL32,$J32,FALSE()),""))</f>
        <v/>
      </c>
      <c r="J32" s="5" t="n">
        <f aca="false">+J31+1</f>
        <v>31</v>
      </c>
      <c r="L32" s="1" t="s">
        <v>163</v>
      </c>
      <c r="N32" s="17" t="s">
        <v>271</v>
      </c>
      <c r="R32" s="1" t="s">
        <v>272</v>
      </c>
      <c r="S32" s="1" t="s">
        <v>273</v>
      </c>
      <c r="T32" s="1" t="s">
        <v>103</v>
      </c>
      <c r="V32" s="1" t="s">
        <v>103</v>
      </c>
      <c r="W32" s="1" t="s">
        <v>274</v>
      </c>
      <c r="Z32" s="1" t="s">
        <v>161</v>
      </c>
    </row>
    <row r="33" s="14" customFormat="true" ht="15" hidden="false" customHeight="true" outlineLevel="0" collapsed="false">
      <c r="A33" s="13" t="str">
        <f aca="false">+K33</f>
        <v>Factor 4</v>
      </c>
      <c r="B33" s="13" t="str">
        <f aca="false">IF(IFERROR(HLOOKUP(B$2,$M$2:$BL33,$J33,FALSE()),"")="","",IFERROR(HLOOKUP(B$2,$M$2:$BL33,$J33,FALSE()),""))</f>
        <v/>
      </c>
      <c r="C33" s="13" t="str">
        <f aca="false">IF(IFERROR(HLOOKUP(C$2,$M$2:$BL33,$J33,FALSE()),"")="","",IFERROR(HLOOKUP(C$2,$M$2:$BL33,$J33,FALSE()),""))</f>
        <v/>
      </c>
      <c r="D33" s="13" t="str">
        <f aca="false">IF(IFERROR(HLOOKUP(D$2,$M$2:$BL33,$J33,FALSE()),"")="","",IFERROR(HLOOKUP(D$2,$M$2:$BL33,$J33,FALSE()),""))</f>
        <v/>
      </c>
      <c r="E33" s="13" t="str">
        <f aca="false">IF(IFERROR(HLOOKUP(E$2,$M$2:$BL33,$J33,FALSE()),"")="","",IFERROR(HLOOKUP(E$2,$M$2:$BL33,$J33,FALSE()),""))</f>
        <v/>
      </c>
      <c r="F33" s="13" t="str">
        <f aca="false">IF(IFERROR(HLOOKUP(F$2,$M$2:$BL33,$J33,FALSE()),"")="","",IFERROR(HLOOKUP(F$2,$M$2:$BL33,$J33,FALSE()),""))</f>
        <v/>
      </c>
      <c r="G33" s="13" t="str">
        <f aca="false">IF(IFERROR(HLOOKUP(G$2,$M$2:$BL33,$J33,FALSE()),"")="","",IFERROR(HLOOKUP(G$2,$M$2:$BL33,$J33,FALSE()),""))</f>
        <v/>
      </c>
      <c r="H33" s="13"/>
      <c r="J33" s="15" t="n">
        <f aca="false">+J32+1</f>
        <v>32</v>
      </c>
      <c r="K33" s="14" t="s">
        <v>275</v>
      </c>
      <c r="S33" s="14" t="s">
        <v>276</v>
      </c>
      <c r="T33" s="14" t="s">
        <v>277</v>
      </c>
      <c r="V33" s="14" t="s">
        <v>278</v>
      </c>
      <c r="W33" s="14" t="s">
        <v>279</v>
      </c>
      <c r="Z33" s="14" t="s">
        <v>280</v>
      </c>
    </row>
    <row r="34" customFormat="false" ht="15" hidden="false" customHeight="true" outlineLevel="0" collapsed="false">
      <c r="A34" s="1" t="str">
        <f aca="false">+L34</f>
        <v>AA and above</v>
      </c>
      <c r="B34" s="1" t="str">
        <f aca="false">IF(IFERROR(HLOOKUP(B$2,$M$2:$BL34,$J34,FALSE()),"")="","",IFERROR(HLOOKUP(B$2,$M$2:$BL34,$J34,FALSE()),""))</f>
        <v/>
      </c>
      <c r="C34" s="1" t="str">
        <f aca="false">IF(IFERROR(HLOOKUP(C$2,$M$2:$BL34,$J34,FALSE()),"")="","",IFERROR(HLOOKUP(C$2,$M$2:$BL34,$J34,FALSE()),""))</f>
        <v/>
      </c>
      <c r="D34" s="1" t="str">
        <f aca="false">IF(IFERROR(HLOOKUP(D$2,$M$2:$BL34,$J34,FALSE()),"")="","",IFERROR(HLOOKUP(D$2,$M$2:$BL34,$J34,FALSE()),""))</f>
        <v/>
      </c>
      <c r="E34" s="1" t="str">
        <f aca="false">IF(IFERROR(HLOOKUP(E$2,$M$2:$BL34,$J34,FALSE()),"")="","",IFERROR(HLOOKUP(E$2,$M$2:$BL34,$J34,FALSE()),""))</f>
        <v/>
      </c>
      <c r="F34" s="1" t="str">
        <f aca="false">IF(IFERROR(HLOOKUP(F$2,$M$2:$BL34,$J34,FALSE()),"")="","",IFERROR(HLOOKUP(F$2,$M$2:$BL34,$J34,FALSE()),""))</f>
        <v/>
      </c>
      <c r="G34" s="1" t="str">
        <f aca="false">IF(IFERROR(HLOOKUP(G$2,$M$2:$BL34,$J34,FALSE()),"")="","",IFERROR(HLOOKUP(G$2,$M$2:$BL34,$J34,FALSE()),""))</f>
        <v/>
      </c>
      <c r="J34" s="5" t="n">
        <f aca="false">+J33+1</f>
        <v>33</v>
      </c>
      <c r="L34" s="1" t="s">
        <v>30</v>
      </c>
      <c r="S34" s="1" t="s">
        <v>281</v>
      </c>
      <c r="T34" s="17" t="s">
        <v>282</v>
      </c>
      <c r="V34" s="1" t="s">
        <v>103</v>
      </c>
      <c r="W34" s="1" t="s">
        <v>283</v>
      </c>
      <c r="Z34" s="1" t="s">
        <v>284</v>
      </c>
    </row>
    <row r="35" customFormat="false" ht="15" hidden="false" customHeight="true" outlineLevel="0" collapsed="false">
      <c r="A35" s="1" t="str">
        <f aca="false">+L35</f>
        <v>A</v>
      </c>
      <c r="B35" s="1" t="str">
        <f aca="false">IF(IFERROR(HLOOKUP(B$2,$M$2:$BL35,$J35,FALSE()),"")="","",IFERROR(HLOOKUP(B$2,$M$2:$BL35,$J35,FALSE()),""))</f>
        <v/>
      </c>
      <c r="C35" s="1" t="str">
        <f aca="false">IF(IFERROR(HLOOKUP(C$2,$M$2:$BL35,$J35,FALSE()),"")="","",IFERROR(HLOOKUP(C$2,$M$2:$BL35,$J35,FALSE()),""))</f>
        <v/>
      </c>
      <c r="D35" s="1" t="str">
        <f aca="false">IF(IFERROR(HLOOKUP(D$2,$M$2:$BL35,$J35,FALSE()),"")="","",IFERROR(HLOOKUP(D$2,$M$2:$BL35,$J35,FALSE()),""))</f>
        <v/>
      </c>
      <c r="E35" s="1" t="str">
        <f aca="false">IF(IFERROR(HLOOKUP(E$2,$M$2:$BL35,$J35,FALSE()),"")="","",IFERROR(HLOOKUP(E$2,$M$2:$BL35,$J35,FALSE()),""))</f>
        <v/>
      </c>
      <c r="F35" s="1" t="str">
        <f aca="false">IF(IFERROR(HLOOKUP(F$2,$M$2:$BL35,$J35,FALSE()),"")="","",IFERROR(HLOOKUP(F$2,$M$2:$BL35,$J35,FALSE()),""))</f>
        <v/>
      </c>
      <c r="G35" s="1" t="str">
        <f aca="false">IF(IFERROR(HLOOKUP(G$2,$M$2:$BL35,$J35,FALSE()),"")="","",IFERROR(HLOOKUP(G$2,$M$2:$BL35,$J35,FALSE()),""))</f>
        <v/>
      </c>
      <c r="J35" s="5" t="n">
        <f aca="false">+J34+1</f>
        <v>34</v>
      </c>
      <c r="L35" s="1" t="s">
        <v>63</v>
      </c>
      <c r="S35" s="1" t="s">
        <v>281</v>
      </c>
      <c r="T35" s="17" t="s">
        <v>282</v>
      </c>
      <c r="V35" s="17" t="s">
        <v>285</v>
      </c>
      <c r="W35" s="17" t="s">
        <v>286</v>
      </c>
      <c r="Z35" s="1" t="s">
        <v>287</v>
      </c>
    </row>
    <row r="36" customFormat="false" ht="15" hidden="false" customHeight="true" outlineLevel="0" collapsed="false">
      <c r="A36" s="1" t="str">
        <f aca="false">+L36</f>
        <v>BBB</v>
      </c>
      <c r="B36" s="1" t="str">
        <f aca="false">IF(IFERROR(HLOOKUP(B$2,$M$2:$BL36,$J36,FALSE()),"")="","",IFERROR(HLOOKUP(B$2,$M$2:$BL36,$J36,FALSE()),""))</f>
        <v/>
      </c>
      <c r="C36" s="1" t="str">
        <f aca="false">IF(IFERROR(HLOOKUP(C$2,$M$2:$BL36,$J36,FALSE()),"")="","",IFERROR(HLOOKUP(C$2,$M$2:$BL36,$J36,FALSE()),""))</f>
        <v/>
      </c>
      <c r="D36" s="1" t="str">
        <f aca="false">IF(IFERROR(HLOOKUP(D$2,$M$2:$BL36,$J36,FALSE()),"")="","",IFERROR(HLOOKUP(D$2,$M$2:$BL36,$J36,FALSE()),""))</f>
        <v/>
      </c>
      <c r="E36" s="1" t="str">
        <f aca="false">IF(IFERROR(HLOOKUP(E$2,$M$2:$BL36,$J36,FALSE()),"")="","",IFERROR(HLOOKUP(E$2,$M$2:$BL36,$J36,FALSE()),""))</f>
        <v/>
      </c>
      <c r="F36" s="1" t="str">
        <f aca="false">IF(IFERROR(HLOOKUP(F$2,$M$2:$BL36,$J36,FALSE()),"")="","",IFERROR(HLOOKUP(F$2,$M$2:$BL36,$J36,FALSE()),""))</f>
        <v/>
      </c>
      <c r="G36" s="1" t="str">
        <f aca="false">IF(IFERROR(HLOOKUP(G$2,$M$2:$BL36,$J36,FALSE()),"")="","",IFERROR(HLOOKUP(G$2,$M$2:$BL36,$J36,FALSE()),""))</f>
        <v/>
      </c>
      <c r="J36" s="5" t="n">
        <f aca="false">+J35+1</f>
        <v>35</v>
      </c>
      <c r="L36" s="1" t="s">
        <v>72</v>
      </c>
      <c r="M36" s="10"/>
      <c r="S36" s="10" t="s">
        <v>146</v>
      </c>
      <c r="T36" s="19" t="s">
        <v>288</v>
      </c>
      <c r="V36" s="17" t="s">
        <v>285</v>
      </c>
      <c r="W36" s="17" t="s">
        <v>289</v>
      </c>
      <c r="Z36" s="1" t="s">
        <v>290</v>
      </c>
      <c r="AA36" s="10"/>
    </row>
    <row r="37" customFormat="false" ht="15" hidden="false" customHeight="true" outlineLevel="0" collapsed="false">
      <c r="A37" s="1" t="str">
        <f aca="false">+L37</f>
        <v>BB</v>
      </c>
      <c r="B37" s="1" t="str">
        <f aca="false">IF(IFERROR(HLOOKUP(B$2,$M$2:$BL37,$J37,FALSE()),"")="","",IFERROR(HLOOKUP(B$2,$M$2:$BL37,$J37,FALSE()),""))</f>
        <v/>
      </c>
      <c r="C37" s="1" t="str">
        <f aca="false">IF(IFERROR(HLOOKUP(C$2,$M$2:$BL37,$J37,FALSE()),"")="","",IFERROR(HLOOKUP(C$2,$M$2:$BL37,$J37,FALSE()),""))</f>
        <v/>
      </c>
      <c r="D37" s="1" t="str">
        <f aca="false">IF(IFERROR(HLOOKUP(D$2,$M$2:$BL37,$J37,FALSE()),"")="","",IFERROR(HLOOKUP(D$2,$M$2:$BL37,$J37,FALSE()),""))</f>
        <v/>
      </c>
      <c r="E37" s="1" t="str">
        <f aca="false">IF(IFERROR(HLOOKUP(E$2,$M$2:$BL37,$J37,FALSE()),"")="","",IFERROR(HLOOKUP(E$2,$M$2:$BL37,$J37,FALSE()),""))</f>
        <v/>
      </c>
      <c r="F37" s="1" t="str">
        <f aca="false">IF(IFERROR(HLOOKUP(F$2,$M$2:$BL37,$J37,FALSE()),"")="","",IFERROR(HLOOKUP(F$2,$M$2:$BL37,$J37,FALSE()),""))</f>
        <v/>
      </c>
      <c r="G37" s="1" t="str">
        <f aca="false">IF(IFERROR(HLOOKUP(G$2,$M$2:$BL37,$J37,FALSE()),"")="","",IFERROR(HLOOKUP(G$2,$M$2:$BL37,$J37,FALSE()),""))</f>
        <v/>
      </c>
      <c r="J37" s="5" t="n">
        <f aca="false">+J36+1</f>
        <v>36</v>
      </c>
      <c r="L37" s="1" t="s">
        <v>94</v>
      </c>
      <c r="M37" s="10"/>
      <c r="S37" s="10" t="s">
        <v>291</v>
      </c>
      <c r="T37" s="17" t="s">
        <v>292</v>
      </c>
      <c r="V37" s="17" t="s">
        <v>293</v>
      </c>
      <c r="W37" s="17" t="s">
        <v>199</v>
      </c>
      <c r="Z37" s="1" t="s">
        <v>294</v>
      </c>
      <c r="AA37" s="10"/>
    </row>
    <row r="38" customFormat="false" ht="15" hidden="false" customHeight="true" outlineLevel="0" collapsed="false">
      <c r="A38" s="1" t="str">
        <f aca="false">+L38</f>
        <v>B</v>
      </c>
      <c r="B38" s="1" t="str">
        <f aca="false">IF(IFERROR(HLOOKUP(B$2,$M$2:$BL38,$J38,FALSE()),"")="","",IFERROR(HLOOKUP(B$2,$M$2:$BL38,$J38,FALSE()),""))</f>
        <v/>
      </c>
      <c r="C38" s="1" t="str">
        <f aca="false">IF(IFERROR(HLOOKUP(C$2,$M$2:$BL38,$J38,FALSE()),"")="","",IFERROR(HLOOKUP(C$2,$M$2:$BL38,$J38,FALSE()),""))</f>
        <v/>
      </c>
      <c r="D38" s="1" t="str">
        <f aca="false">IF(IFERROR(HLOOKUP(D$2,$M$2:$BL38,$J38,FALSE()),"")="","",IFERROR(HLOOKUP(D$2,$M$2:$BL38,$J38,FALSE()),""))</f>
        <v/>
      </c>
      <c r="E38" s="1" t="str">
        <f aca="false">IF(IFERROR(HLOOKUP(E$2,$M$2:$BL38,$J38,FALSE()),"")="","",IFERROR(HLOOKUP(E$2,$M$2:$BL38,$J38,FALSE()),""))</f>
        <v/>
      </c>
      <c r="F38" s="1" t="str">
        <f aca="false">IF(IFERROR(HLOOKUP(F$2,$M$2:$BL38,$J38,FALSE()),"")="","",IFERROR(HLOOKUP(F$2,$M$2:$BL38,$J38,FALSE()),""))</f>
        <v/>
      </c>
      <c r="G38" s="1" t="str">
        <f aca="false">IF(IFERROR(HLOOKUP(G$2,$M$2:$BL38,$J38,FALSE()),"")="","",IFERROR(HLOOKUP(G$2,$M$2:$BL38,$J38,FALSE()),""))</f>
        <v/>
      </c>
      <c r="J38" s="5" t="n">
        <f aca="false">+J37+1</f>
        <v>37</v>
      </c>
      <c r="L38" s="1" t="s">
        <v>136</v>
      </c>
      <c r="S38" s="1" t="s">
        <v>295</v>
      </c>
      <c r="T38" s="17" t="s">
        <v>296</v>
      </c>
      <c r="V38" s="17" t="s">
        <v>293</v>
      </c>
      <c r="W38" s="17" t="s">
        <v>170</v>
      </c>
      <c r="Z38" s="1" t="s">
        <v>297</v>
      </c>
    </row>
    <row r="39" customFormat="false" ht="15" hidden="false" customHeight="true" outlineLevel="0" collapsed="false">
      <c r="A39" s="1" t="str">
        <f aca="false">+L39</f>
        <v>CCC and below</v>
      </c>
      <c r="B39" s="1" t="str">
        <f aca="false">IF(IFERROR(HLOOKUP(B$2,$M$2:$BL39,$J39,FALSE()),"")="","",IFERROR(HLOOKUP(B$2,$M$2:$BL39,$J39,FALSE()),""))</f>
        <v/>
      </c>
      <c r="C39" s="1" t="str">
        <f aca="false">IF(IFERROR(HLOOKUP(C$2,$M$2:$BL39,$J39,FALSE()),"")="","",IFERROR(HLOOKUP(C$2,$M$2:$BL39,$J39,FALSE()),""))</f>
        <v/>
      </c>
      <c r="D39" s="1" t="str">
        <f aca="false">IF(IFERROR(HLOOKUP(D$2,$M$2:$BL39,$J39,FALSE()),"")="","",IFERROR(HLOOKUP(D$2,$M$2:$BL39,$J39,FALSE()),""))</f>
        <v/>
      </c>
      <c r="E39" s="1" t="str">
        <f aca="false">IF(IFERROR(HLOOKUP(E$2,$M$2:$BL39,$J39,FALSE()),"")="","",IFERROR(HLOOKUP(E$2,$M$2:$BL39,$J39,FALSE()),""))</f>
        <v/>
      </c>
      <c r="F39" s="1" t="str">
        <f aca="false">IF(IFERROR(HLOOKUP(F$2,$M$2:$BL39,$J39,FALSE()),"")="","",IFERROR(HLOOKUP(F$2,$M$2:$BL39,$J39,FALSE()),""))</f>
        <v/>
      </c>
      <c r="G39" s="1" t="str">
        <f aca="false">IF(IFERROR(HLOOKUP(G$2,$M$2:$BL39,$J39,FALSE()),"")="","",IFERROR(HLOOKUP(G$2,$M$2:$BL39,$J39,FALSE()),""))</f>
        <v/>
      </c>
      <c r="J39" s="5" t="n">
        <f aca="false">+J38+1</f>
        <v>38</v>
      </c>
      <c r="L39" s="1" t="s">
        <v>163</v>
      </c>
      <c r="S39" s="1" t="s">
        <v>295</v>
      </c>
      <c r="T39" s="1" t="s">
        <v>103</v>
      </c>
      <c r="V39" s="1" t="s">
        <v>103</v>
      </c>
      <c r="W39" s="1" t="s">
        <v>170</v>
      </c>
      <c r="Z39" s="1" t="s">
        <v>166</v>
      </c>
    </row>
    <row r="40" s="14" customFormat="true" ht="15" hidden="false" customHeight="true" outlineLevel="0" collapsed="false">
      <c r="A40" s="13" t="str">
        <f aca="false">+K40</f>
        <v>Factor 5</v>
      </c>
      <c r="B40" s="13" t="str">
        <f aca="false">IF(IFERROR(HLOOKUP(B$2,$M$2:$BL40,$J40,FALSE()),"")="","",IFERROR(HLOOKUP(B$2,$M$2:$BL40,$J40,FALSE()),""))</f>
        <v/>
      </c>
      <c r="C40" s="13" t="str">
        <f aca="false">IF(IFERROR(HLOOKUP(C$2,$M$2:$BL40,$J40,FALSE()),"")="","",IFERROR(HLOOKUP(C$2,$M$2:$BL40,$J40,FALSE()),""))</f>
        <v/>
      </c>
      <c r="D40" s="13" t="str">
        <f aca="false">IF(IFERROR(HLOOKUP(D$2,$M$2:$BL40,$J40,FALSE()),"")="","",IFERROR(HLOOKUP(D$2,$M$2:$BL40,$J40,FALSE()),""))</f>
        <v/>
      </c>
      <c r="E40" s="13" t="str">
        <f aca="false">IF(IFERROR(HLOOKUP(E$2,$M$2:$BL40,$J40,FALSE()),"")="","",IFERROR(HLOOKUP(E$2,$M$2:$BL40,$J40,FALSE()),""))</f>
        <v/>
      </c>
      <c r="F40" s="13" t="str">
        <f aca="false">IF(IFERROR(HLOOKUP(F$2,$M$2:$BL40,$J40,FALSE()),"")="","",IFERROR(HLOOKUP(F$2,$M$2:$BL40,$J40,FALSE()),""))</f>
        <v/>
      </c>
      <c r="G40" s="13" t="str">
        <f aca="false">IF(IFERROR(HLOOKUP(G$2,$M$2:$BL40,$J40,FALSE()),"")="","",IFERROR(HLOOKUP(G$2,$M$2:$BL40,$J40,FALSE()),""))</f>
        <v/>
      </c>
      <c r="H40" s="13"/>
      <c r="J40" s="15" t="n">
        <f aca="false">+J39+1</f>
        <v>39</v>
      </c>
      <c r="K40" s="14" t="s">
        <v>298</v>
      </c>
      <c r="V40" s="14" t="s">
        <v>299</v>
      </c>
    </row>
    <row r="41" customFormat="false" ht="15" hidden="false" customHeight="true" outlineLevel="0" collapsed="false">
      <c r="A41" s="1" t="str">
        <f aca="false">+L41</f>
        <v>AA and above</v>
      </c>
      <c r="B41" s="1" t="str">
        <f aca="false">IF(IFERROR(HLOOKUP(B$2,$M$2:$BL41,$J41,FALSE()),"")="","",IFERROR(HLOOKUP(B$2,$M$2:$BL41,$J41,FALSE()),""))</f>
        <v/>
      </c>
      <c r="C41" s="1" t="str">
        <f aca="false">IF(IFERROR(HLOOKUP(C$2,$M$2:$BL41,$J41,FALSE()),"")="","",IFERROR(HLOOKUP(C$2,$M$2:$BL41,$J41,FALSE()),""))</f>
        <v/>
      </c>
      <c r="D41" s="1" t="str">
        <f aca="false">IF(IFERROR(HLOOKUP(D$2,$M$2:$BL41,$J41,FALSE()),"")="","",IFERROR(HLOOKUP(D$2,$M$2:$BL41,$J41,FALSE()),""))</f>
        <v/>
      </c>
      <c r="E41" s="1" t="str">
        <f aca="false">IF(IFERROR(HLOOKUP(E$2,$M$2:$BL41,$J41,FALSE()),"")="","",IFERROR(HLOOKUP(E$2,$M$2:$BL41,$J41,FALSE()),""))</f>
        <v/>
      </c>
      <c r="F41" s="1" t="str">
        <f aca="false">IF(IFERROR(HLOOKUP(F$2,$M$2:$BL41,$J41,FALSE()),"")="","",IFERROR(HLOOKUP(F$2,$M$2:$BL41,$J41,FALSE()),""))</f>
        <v/>
      </c>
      <c r="G41" s="1" t="str">
        <f aca="false">IF(IFERROR(HLOOKUP(G$2,$M$2:$BL41,$J41,FALSE()),"")="","",IFERROR(HLOOKUP(G$2,$M$2:$BL41,$J41,FALSE()),""))</f>
        <v/>
      </c>
      <c r="J41" s="5" t="n">
        <f aca="false">+J40+1</f>
        <v>40</v>
      </c>
      <c r="L41" s="1" t="s">
        <v>30</v>
      </c>
      <c r="V41" s="1" t="s">
        <v>103</v>
      </c>
    </row>
    <row r="42" customFormat="false" ht="15" hidden="false" customHeight="true" outlineLevel="0" collapsed="false">
      <c r="A42" s="1" t="str">
        <f aca="false">+L42</f>
        <v>A</v>
      </c>
      <c r="B42" s="1" t="str">
        <f aca="false">IF(IFERROR(HLOOKUP(B$2,$M$2:$BL42,$J42,FALSE()),"")="","",IFERROR(HLOOKUP(B$2,$M$2:$BL42,$J42,FALSE()),""))</f>
        <v/>
      </c>
      <c r="C42" s="1" t="str">
        <f aca="false">IF(IFERROR(HLOOKUP(C$2,$M$2:$BL42,$J42,FALSE()),"")="","",IFERROR(HLOOKUP(C$2,$M$2:$BL42,$J42,FALSE()),""))</f>
        <v/>
      </c>
      <c r="D42" s="1" t="str">
        <f aca="false">IF(IFERROR(HLOOKUP(D$2,$M$2:$BL42,$J42,FALSE()),"")="","",IFERROR(HLOOKUP(D$2,$M$2:$BL42,$J42,FALSE()),""))</f>
        <v/>
      </c>
      <c r="E42" s="1" t="str">
        <f aca="false">IF(IFERROR(HLOOKUP(E$2,$M$2:$BL42,$J42,FALSE()),"")="","",IFERROR(HLOOKUP(E$2,$M$2:$BL42,$J42,FALSE()),""))</f>
        <v/>
      </c>
      <c r="F42" s="1" t="str">
        <f aca="false">IF(IFERROR(HLOOKUP(F$2,$M$2:$BL42,$J42,FALSE()),"")="","",IFERROR(HLOOKUP(F$2,$M$2:$BL42,$J42,FALSE()),""))</f>
        <v/>
      </c>
      <c r="G42" s="1" t="str">
        <f aca="false">IF(IFERROR(HLOOKUP(G$2,$M$2:$BL42,$J42,FALSE()),"")="","",IFERROR(HLOOKUP(G$2,$M$2:$BL42,$J42,FALSE()),""))</f>
        <v/>
      </c>
      <c r="J42" s="5" t="n">
        <f aca="false">+J41+1</f>
        <v>41</v>
      </c>
      <c r="L42" s="1" t="s">
        <v>63</v>
      </c>
      <c r="V42" s="1" t="s">
        <v>300</v>
      </c>
    </row>
    <row r="43" customFormat="false" ht="15" hidden="false" customHeight="true" outlineLevel="0" collapsed="false">
      <c r="A43" s="1" t="str">
        <f aca="false">+L43</f>
        <v>BBB</v>
      </c>
      <c r="B43" s="1" t="str">
        <f aca="false">IF(IFERROR(HLOOKUP(B$2,$M$2:$BL43,$J43,FALSE()),"")="","",IFERROR(HLOOKUP(B$2,$M$2:$BL43,$J43,FALSE()),""))</f>
        <v/>
      </c>
      <c r="C43" s="1" t="str">
        <f aca="false">IF(IFERROR(HLOOKUP(C$2,$M$2:$BL43,$J43,FALSE()),"")="","",IFERROR(HLOOKUP(C$2,$M$2:$BL43,$J43,FALSE()),""))</f>
        <v/>
      </c>
      <c r="D43" s="1" t="str">
        <f aca="false">IF(IFERROR(HLOOKUP(D$2,$M$2:$BL43,$J43,FALSE()),"")="","",IFERROR(HLOOKUP(D$2,$M$2:$BL43,$J43,FALSE()),""))</f>
        <v/>
      </c>
      <c r="E43" s="1" t="str">
        <f aca="false">IF(IFERROR(HLOOKUP(E$2,$M$2:$BL43,$J43,FALSE()),"")="","",IFERROR(HLOOKUP(E$2,$M$2:$BL43,$J43,FALSE()),""))</f>
        <v/>
      </c>
      <c r="F43" s="1" t="str">
        <f aca="false">IF(IFERROR(HLOOKUP(F$2,$M$2:$BL43,$J43,FALSE()),"")="","",IFERROR(HLOOKUP(F$2,$M$2:$BL43,$J43,FALSE()),""))</f>
        <v/>
      </c>
      <c r="G43" s="1" t="str">
        <f aca="false">IF(IFERROR(HLOOKUP(G$2,$M$2:$BL43,$J43,FALSE()),"")="","",IFERROR(HLOOKUP(G$2,$M$2:$BL43,$J43,FALSE()),""))</f>
        <v/>
      </c>
      <c r="J43" s="5" t="n">
        <f aca="false">+J42+1</f>
        <v>42</v>
      </c>
      <c r="L43" s="1" t="s">
        <v>72</v>
      </c>
      <c r="V43" s="1" t="s">
        <v>300</v>
      </c>
    </row>
    <row r="44" customFormat="false" ht="15" hidden="false" customHeight="true" outlineLevel="0" collapsed="false">
      <c r="A44" s="1" t="str">
        <f aca="false">+L44</f>
        <v>BB</v>
      </c>
      <c r="B44" s="1" t="str">
        <f aca="false">IF(IFERROR(HLOOKUP(B$2,$M$2:$BL44,$J44,FALSE()),"")="","",IFERROR(HLOOKUP(B$2,$M$2:$BL44,$J44,FALSE()),""))</f>
        <v/>
      </c>
      <c r="C44" s="1" t="str">
        <f aca="false">IF(IFERROR(HLOOKUP(C$2,$M$2:$BL44,$J44,FALSE()),"")="","",IFERROR(HLOOKUP(C$2,$M$2:$BL44,$J44,FALSE()),""))</f>
        <v/>
      </c>
      <c r="D44" s="1" t="str">
        <f aca="false">IF(IFERROR(HLOOKUP(D$2,$M$2:$BL44,$J44,FALSE()),"")="","",IFERROR(HLOOKUP(D$2,$M$2:$BL44,$J44,FALSE()),""))</f>
        <v/>
      </c>
      <c r="E44" s="1" t="str">
        <f aca="false">IF(IFERROR(HLOOKUP(E$2,$M$2:$BL44,$J44,FALSE()),"")="","",IFERROR(HLOOKUP(E$2,$M$2:$BL44,$J44,FALSE()),""))</f>
        <v/>
      </c>
      <c r="F44" s="1" t="str">
        <f aca="false">IF(IFERROR(HLOOKUP(F$2,$M$2:$BL44,$J44,FALSE()),"")="","",IFERROR(HLOOKUP(F$2,$M$2:$BL44,$J44,FALSE()),""))</f>
        <v/>
      </c>
      <c r="G44" s="1" t="str">
        <f aca="false">IF(IFERROR(HLOOKUP(G$2,$M$2:$BL44,$J44,FALSE()),"")="","",IFERROR(HLOOKUP(G$2,$M$2:$BL44,$J44,FALSE()),""))</f>
        <v/>
      </c>
      <c r="J44" s="5" t="n">
        <f aca="false">+J43+1</f>
        <v>43</v>
      </c>
      <c r="L44" s="1" t="s">
        <v>94</v>
      </c>
      <c r="V44" s="1" t="s">
        <v>301</v>
      </c>
    </row>
    <row r="45" customFormat="false" ht="15" hidden="false" customHeight="true" outlineLevel="0" collapsed="false">
      <c r="A45" s="1" t="str">
        <f aca="false">+L45</f>
        <v>B</v>
      </c>
      <c r="B45" s="1" t="str">
        <f aca="false">IF(IFERROR(HLOOKUP(B$2,$M$2:$BL45,$J45,FALSE()),"")="","",IFERROR(HLOOKUP(B$2,$M$2:$BL45,$J45,FALSE()),""))</f>
        <v/>
      </c>
      <c r="C45" s="1" t="str">
        <f aca="false">IF(IFERROR(HLOOKUP(C$2,$M$2:$BL45,$J45,FALSE()),"")="","",IFERROR(HLOOKUP(C$2,$M$2:$BL45,$J45,FALSE()),""))</f>
        <v/>
      </c>
      <c r="D45" s="1" t="str">
        <f aca="false">IF(IFERROR(HLOOKUP(D$2,$M$2:$BL45,$J45,FALSE()),"")="","",IFERROR(HLOOKUP(D$2,$M$2:$BL45,$J45,FALSE()),""))</f>
        <v/>
      </c>
      <c r="E45" s="1" t="str">
        <f aca="false">IF(IFERROR(HLOOKUP(E$2,$M$2:$BL45,$J45,FALSE()),"")="","",IFERROR(HLOOKUP(E$2,$M$2:$BL45,$J45,FALSE()),""))</f>
        <v/>
      </c>
      <c r="F45" s="1" t="str">
        <f aca="false">IF(IFERROR(HLOOKUP(F$2,$M$2:$BL45,$J45,FALSE()),"")="","",IFERROR(HLOOKUP(F$2,$M$2:$BL45,$J45,FALSE()),""))</f>
        <v/>
      </c>
      <c r="G45" s="1" t="str">
        <f aca="false">IF(IFERROR(HLOOKUP(G$2,$M$2:$BL45,$J45,FALSE()),"")="","",IFERROR(HLOOKUP(G$2,$M$2:$BL45,$J45,FALSE()),""))</f>
        <v/>
      </c>
      <c r="J45" s="5" t="n">
        <f aca="false">+J44+1</f>
        <v>44</v>
      </c>
      <c r="L45" s="1" t="s">
        <v>136</v>
      </c>
      <c r="V45" s="1" t="s">
        <v>301</v>
      </c>
    </row>
    <row r="46" customFormat="false" ht="15" hidden="false" customHeight="true" outlineLevel="0" collapsed="false">
      <c r="A46" s="1" t="str">
        <f aca="false">+L46</f>
        <v>CCC and below</v>
      </c>
      <c r="B46" s="1" t="str">
        <f aca="false">IF(IFERROR(HLOOKUP(B$2,$M$2:$BL46,$J46,FALSE()),"")="","",IFERROR(HLOOKUP(B$2,$M$2:$BL46,$J46,FALSE()),""))</f>
        <v/>
      </c>
      <c r="C46" s="1" t="str">
        <f aca="false">IF(IFERROR(HLOOKUP(C$2,$M$2:$BL46,$J46,FALSE()),"")="","",IFERROR(HLOOKUP(C$2,$M$2:$BL46,$J46,FALSE()),""))</f>
        <v/>
      </c>
      <c r="D46" s="1" t="str">
        <f aca="false">IF(IFERROR(HLOOKUP(D$2,$M$2:$BL46,$J46,FALSE()),"")="","",IFERROR(HLOOKUP(D$2,$M$2:$BL46,$J46,FALSE()),""))</f>
        <v/>
      </c>
      <c r="E46" s="1" t="str">
        <f aca="false">IF(IFERROR(HLOOKUP(E$2,$M$2:$BL46,$J46,FALSE()),"")="","",IFERROR(HLOOKUP(E$2,$M$2:$BL46,$J46,FALSE()),""))</f>
        <v/>
      </c>
      <c r="F46" s="1" t="str">
        <f aca="false">IF(IFERROR(HLOOKUP(F$2,$M$2:$BL46,$J46,FALSE()),"")="","",IFERROR(HLOOKUP(F$2,$M$2:$BL46,$J46,FALSE()),""))</f>
        <v/>
      </c>
      <c r="G46" s="1" t="str">
        <f aca="false">IF(IFERROR(HLOOKUP(G$2,$M$2:$BL46,$J46,FALSE()),"")="","",IFERROR(HLOOKUP(G$2,$M$2:$BL46,$J46,FALSE()),""))</f>
        <v/>
      </c>
      <c r="J46" s="5" t="n">
        <f aca="false">+J45+1</f>
        <v>45</v>
      </c>
      <c r="L46" s="1" t="s">
        <v>163</v>
      </c>
      <c r="V46" s="1" t="s">
        <v>103</v>
      </c>
    </row>
    <row r="47" customFormat="false" ht="11.25" hidden="false" customHeight="false" outlineLevel="0" collapsed="false">
      <c r="J47" s="5" t="n">
        <f aca="false">+J46+1</f>
        <v>46</v>
      </c>
    </row>
    <row r="48" customFormat="false" ht="11.25" hidden="false" customHeight="false" outlineLevel="0" collapsed="false">
      <c r="B48" s="14" t="s">
        <v>302</v>
      </c>
      <c r="C48" s="14" t="s">
        <v>303</v>
      </c>
      <c r="D48" s="14" t="s">
        <v>304</v>
      </c>
      <c r="E48" s="14" t="s">
        <v>305</v>
      </c>
      <c r="F48" s="14" t="s">
        <v>306</v>
      </c>
      <c r="G48" s="14" t="s">
        <v>307</v>
      </c>
      <c r="H48" s="14"/>
      <c r="J48" s="5" t="n">
        <f aca="false">+J47+1</f>
        <v>47</v>
      </c>
    </row>
    <row r="49" customFormat="false" ht="11.25" hidden="false" customHeight="false" outlineLevel="0" collapsed="false">
      <c r="B49" s="14" t="s">
        <v>308</v>
      </c>
      <c r="C49" s="14" t="s">
        <v>309</v>
      </c>
      <c r="D49" s="14" t="s">
        <v>310</v>
      </c>
      <c r="E49" s="14" t="s">
        <v>311</v>
      </c>
      <c r="F49" s="14" t="s">
        <v>312</v>
      </c>
      <c r="G49" s="14" t="s">
        <v>313</v>
      </c>
      <c r="H49" s="14"/>
      <c r="J49" s="5" t="n">
        <f aca="false">+J48+1</f>
        <v>48</v>
      </c>
    </row>
    <row r="50" customFormat="false" ht="11.25" hidden="false" customHeight="false" outlineLevel="0" collapsed="false">
      <c r="B50" s="14" t="s">
        <v>314</v>
      </c>
      <c r="C50" s="14" t="s">
        <v>315</v>
      </c>
      <c r="D50" s="14" t="s">
        <v>316</v>
      </c>
      <c r="E50" s="14" t="s">
        <v>317</v>
      </c>
      <c r="F50" s="14" t="s">
        <v>318</v>
      </c>
      <c r="G50" s="14" t="s">
        <v>319</v>
      </c>
      <c r="H50" s="14"/>
      <c r="J50" s="5" t="n">
        <f aca="false">+J49+1</f>
        <v>49</v>
      </c>
    </row>
    <row r="51" customFormat="false" ht="11.25" hidden="false" customHeight="false" outlineLevel="0" collapsed="false">
      <c r="B51" s="14" t="s">
        <v>320</v>
      </c>
      <c r="C51" s="14" t="s">
        <v>321</v>
      </c>
      <c r="D51" s="14" t="s">
        <v>322</v>
      </c>
      <c r="E51" s="14" t="s">
        <v>323</v>
      </c>
      <c r="F51" s="14" t="s">
        <v>324</v>
      </c>
      <c r="G51" s="14" t="s">
        <v>325</v>
      </c>
      <c r="H51" s="14"/>
      <c r="J51" s="5" t="n">
        <f aca="false">+J50+1</f>
        <v>50</v>
      </c>
    </row>
    <row r="52" customFormat="false" ht="11.25" hidden="false" customHeight="false" outlineLevel="0" collapsed="false">
      <c r="B52" s="14" t="s">
        <v>326</v>
      </c>
      <c r="C52" s="14" t="s">
        <v>327</v>
      </c>
      <c r="D52" s="14" t="s">
        <v>328</v>
      </c>
      <c r="E52" s="14" t="s">
        <v>329</v>
      </c>
      <c r="F52" s="14" t="s">
        <v>330</v>
      </c>
      <c r="G52" s="14" t="s">
        <v>331</v>
      </c>
      <c r="H52" s="14"/>
      <c r="J52" s="5" t="n">
        <f aca="false">+J51+1</f>
        <v>51</v>
      </c>
    </row>
    <row r="53" customFormat="false" ht="11.25" hidden="false" customHeight="false" outlineLevel="0" collapsed="false">
      <c r="J53" s="5" t="n">
        <f aca="false">+J52+1</f>
        <v>52</v>
      </c>
    </row>
    <row r="54" customFormat="false" ht="15" hidden="false" customHeight="true" outlineLevel="0" collapsed="false">
      <c r="J54" s="5" t="n">
        <f aca="false">+J53+1</f>
        <v>53</v>
      </c>
    </row>
    <row r="55" customFormat="false" ht="15" hidden="false" customHeight="true" outlineLevel="0" collapsed="false">
      <c r="A55" s="3" t="s">
        <v>332</v>
      </c>
      <c r="J55" s="5" t="n">
        <f aca="false">+J54+1</f>
        <v>54</v>
      </c>
      <c r="K55" s="6" t="s">
        <v>333</v>
      </c>
    </row>
    <row r="56" s="14" customFormat="true" ht="15" hidden="false" customHeight="true" outlineLevel="0" collapsed="false">
      <c r="A56" s="13" t="str">
        <f aca="false">+K56</f>
        <v>Factor 1</v>
      </c>
      <c r="B56" s="13" t="str">
        <f aca="false">IF(IFERROR(HLOOKUP(B$2,$M$2:$BL56,$J56,FALSE()),"")="","",IFERROR(HLOOKUP(B$2,$M$2:$BL56,$J56,FALSE()),""))</f>
        <v>Geographical</v>
      </c>
      <c r="C56" s="13" t="str">
        <f aca="false">IF(IFERROR(HLOOKUP(C$2,$M$2:$BL56,$J56,FALSE()),"")="","",IFERROR(HLOOKUP(C$2,$M$2:$BL56,$J56,FALSE()),""))</f>
        <v/>
      </c>
      <c r="D56" s="13" t="str">
        <f aca="false">IF(IFERROR(HLOOKUP(D$2,$M$2:$BL56,$J56,FALSE()),"")="","",IFERROR(HLOOKUP(D$2,$M$2:$BL56,$J56,FALSE()),""))</f>
        <v/>
      </c>
      <c r="E56" s="13" t="str">
        <f aca="false">IF(IFERROR(HLOOKUP(E$2,$M$2:$BL56,$J56,FALSE()),"")="","",IFERROR(HLOOKUP(E$2,$M$2:$BL56,$J56,FALSE()),""))</f>
        <v/>
      </c>
      <c r="F56" s="13" t="str">
        <f aca="false">IF(IFERROR(HLOOKUP(F$2,$M$2:$BL56,$J56,FALSE()),"")="","",IFERROR(HLOOKUP(F$2,$M$2:$BL56,$J56,FALSE()),""))</f>
        <v/>
      </c>
      <c r="G56" s="13" t="str">
        <f aca="false">IF(IFERROR(HLOOKUP(G$2,$M$2:$BL56,$J56,FALSE()),"")="","",IFERROR(HLOOKUP(G$2,$M$2:$BL56,$J56,FALSE()),""))</f>
        <v/>
      </c>
      <c r="H56" s="13"/>
      <c r="J56" s="15" t="n">
        <f aca="false">+J55+1</f>
        <v>55</v>
      </c>
      <c r="K56" s="14" t="s">
        <v>79</v>
      </c>
      <c r="M56" s="14" t="s">
        <v>334</v>
      </c>
      <c r="N56" s="14" t="s">
        <v>335</v>
      </c>
      <c r="O56" s="14" t="s">
        <v>336</v>
      </c>
      <c r="P56" s="14" t="s">
        <v>337</v>
      </c>
      <c r="Q56" s="14" t="s">
        <v>334</v>
      </c>
      <c r="R56" s="14" t="s">
        <v>338</v>
      </c>
      <c r="S56" s="14" t="s">
        <v>336</v>
      </c>
      <c r="T56" s="14" t="s">
        <v>336</v>
      </c>
      <c r="V56" s="14" t="s">
        <v>337</v>
      </c>
      <c r="W56" s="14" t="s">
        <v>336</v>
      </c>
      <c r="X56" s="14" t="s">
        <v>337</v>
      </c>
      <c r="Y56" s="14" t="s">
        <v>337</v>
      </c>
      <c r="Z56" s="14" t="s">
        <v>339</v>
      </c>
    </row>
    <row r="57" customFormat="false" ht="15" hidden="false" customHeight="true" outlineLevel="0" collapsed="false">
      <c r="A57" s="1" t="str">
        <f aca="false">+L57</f>
        <v>AA and above</v>
      </c>
      <c r="B57" s="1" t="str">
        <f aca="false">IF(IFERROR(HLOOKUP(B$2,$M$2:$BL57,$J57,FALSE()),"")="","",IFERROR(HLOOKUP(B$2,$M$2:$BL57,$J57,FALSE()),""))</f>
        <v>Global presence; leading player worldwide </v>
      </c>
      <c r="C57" s="1" t="str">
        <f aca="false">IF(IFERROR(HLOOKUP(C$2,$M$2:$BL57,$J57,FALSE()),"")="","",IFERROR(HLOOKUP(C$2,$M$2:$BL57,$J57,FALSE()),""))</f>
        <v/>
      </c>
      <c r="D57" s="1" t="str">
        <f aca="false">IF(IFERROR(HLOOKUP(D$2,$M$2:$BL57,$J57,FALSE()),"")="","",IFERROR(HLOOKUP(D$2,$M$2:$BL57,$J57,FALSE()),""))</f>
        <v/>
      </c>
      <c r="E57" s="1" t="str">
        <f aca="false">IF(IFERROR(HLOOKUP(E$2,$M$2:$BL57,$J57,FALSE()),"")="","",IFERROR(HLOOKUP(E$2,$M$2:$BL57,$J57,FALSE()),""))</f>
        <v/>
      </c>
      <c r="F57" s="1" t="str">
        <f aca="false">IF(IFERROR(HLOOKUP(F$2,$M$2:$BL57,$J57,FALSE()),"")="","",IFERROR(HLOOKUP(F$2,$M$2:$BL57,$J57,FALSE()),""))</f>
        <v/>
      </c>
      <c r="G57" s="1" t="str">
        <f aca="false">IF(IFERROR(HLOOKUP(G$2,$M$2:$BL57,$J57,FALSE()),"")="","",IFERROR(HLOOKUP(G$2,$M$2:$BL57,$J57,FALSE()),""))</f>
        <v/>
      </c>
      <c r="J57" s="5" t="n">
        <f aca="false">+J56+1</f>
        <v>56</v>
      </c>
      <c r="L57" s="1" t="s">
        <v>30</v>
      </c>
      <c r="M57" s="1" t="s">
        <v>340</v>
      </c>
      <c r="N57" s="1" t="s">
        <v>104</v>
      </c>
      <c r="O57" s="1" t="s">
        <v>341</v>
      </c>
      <c r="P57" s="1" t="s">
        <v>342</v>
      </c>
      <c r="Q57" s="1" t="s">
        <v>343</v>
      </c>
      <c r="R57" s="1" t="s">
        <v>344</v>
      </c>
      <c r="S57" s="1" t="s">
        <v>345</v>
      </c>
      <c r="T57" s="1" t="s">
        <v>346</v>
      </c>
      <c r="V57" s="1" t="s">
        <v>103</v>
      </c>
      <c r="W57" s="1" t="s">
        <v>347</v>
      </c>
      <c r="X57" s="1" t="s">
        <v>348</v>
      </c>
      <c r="Y57" s="1" t="s">
        <v>348</v>
      </c>
      <c r="Z57" s="1" t="s">
        <v>349</v>
      </c>
    </row>
    <row r="58" customFormat="false" ht="15" hidden="false" customHeight="true" outlineLevel="0" collapsed="false">
      <c r="A58" s="1" t="str">
        <f aca="false">+L58</f>
        <v>A</v>
      </c>
      <c r="B58" s="1" t="str">
        <f aca="false">IF(IFERROR(HLOOKUP(B$2,$M$2:$BL58,$J58,FALSE()),"")="","",IFERROR(HLOOKUP(B$2,$M$2:$BL58,$J58,FALSE()),""))</f>
        <v>Strong international presence; major player in different continents</v>
      </c>
      <c r="C58" s="1" t="str">
        <f aca="false">IF(IFERROR(HLOOKUP(C$2,$M$2:$BL58,$J58,FALSE()),"")="","",IFERROR(HLOOKUP(C$2,$M$2:$BL58,$J58,FALSE()),""))</f>
        <v/>
      </c>
      <c r="D58" s="1" t="str">
        <f aca="false">IF(IFERROR(HLOOKUP(D$2,$M$2:$BL58,$J58,FALSE()),"")="","",IFERROR(HLOOKUP(D$2,$M$2:$BL58,$J58,FALSE()),""))</f>
        <v/>
      </c>
      <c r="E58" s="1" t="str">
        <f aca="false">IF(IFERROR(HLOOKUP(E$2,$M$2:$BL58,$J58,FALSE()),"")="","",IFERROR(HLOOKUP(E$2,$M$2:$BL58,$J58,FALSE()),""))</f>
        <v/>
      </c>
      <c r="F58" s="1" t="str">
        <f aca="false">IF(IFERROR(HLOOKUP(F$2,$M$2:$BL58,$J58,FALSE()),"")="","",IFERROR(HLOOKUP(F$2,$M$2:$BL58,$J58,FALSE()),""))</f>
        <v/>
      </c>
      <c r="G58" s="1" t="str">
        <f aca="false">IF(IFERROR(HLOOKUP(G$2,$M$2:$BL58,$J58,FALSE()),"")="","",IFERROR(HLOOKUP(G$2,$M$2:$BL58,$J58,FALSE()),""))</f>
        <v/>
      </c>
      <c r="J58" s="5" t="n">
        <f aca="false">+J57+1</f>
        <v>57</v>
      </c>
      <c r="L58" s="1" t="s">
        <v>63</v>
      </c>
      <c r="M58" s="1" t="s">
        <v>350</v>
      </c>
      <c r="N58" s="1" t="s">
        <v>118</v>
      </c>
      <c r="O58" s="1" t="s">
        <v>341</v>
      </c>
      <c r="P58" s="1" t="s">
        <v>351</v>
      </c>
      <c r="Q58" s="1" t="s">
        <v>343</v>
      </c>
      <c r="R58" s="1" t="s">
        <v>344</v>
      </c>
      <c r="S58" s="1" t="s">
        <v>345</v>
      </c>
      <c r="T58" s="1" t="s">
        <v>352</v>
      </c>
      <c r="V58" s="1" t="s">
        <v>353</v>
      </c>
      <c r="W58" s="1" t="s">
        <v>354</v>
      </c>
      <c r="X58" s="1" t="s">
        <v>355</v>
      </c>
      <c r="Y58" s="1" t="s">
        <v>355</v>
      </c>
      <c r="Z58" s="1" t="s">
        <v>349</v>
      </c>
    </row>
    <row r="59" customFormat="false" ht="15" hidden="false" customHeight="true" outlineLevel="0" collapsed="false">
      <c r="A59" s="1" t="str">
        <f aca="false">+L59</f>
        <v>BBB</v>
      </c>
      <c r="B59" s="1" t="str">
        <f aca="false">IF(IFERROR(HLOOKUP(B$2,$M$2:$BL59,$J59,FALSE()),"")="","",IFERROR(HLOOKUP(B$2,$M$2:$BL59,$J59,FALSE()),""))</f>
        <v>Adequate international presence; operating in many countries, regions and locations</v>
      </c>
      <c r="C59" s="1" t="str">
        <f aca="false">IF(IFERROR(HLOOKUP(C$2,$M$2:$BL59,$J59,FALSE()),"")="","",IFERROR(HLOOKUP(C$2,$M$2:$BL59,$J59,FALSE()),""))</f>
        <v/>
      </c>
      <c r="D59" s="1" t="str">
        <f aca="false">IF(IFERROR(HLOOKUP(D$2,$M$2:$BL59,$J59,FALSE()),"")="","",IFERROR(HLOOKUP(D$2,$M$2:$BL59,$J59,FALSE()),""))</f>
        <v/>
      </c>
      <c r="E59" s="1" t="str">
        <f aca="false">IF(IFERROR(HLOOKUP(E$2,$M$2:$BL59,$J59,FALSE()),"")="","",IFERROR(HLOOKUP(E$2,$M$2:$BL59,$J59,FALSE()),""))</f>
        <v/>
      </c>
      <c r="F59" s="1" t="str">
        <f aca="false">IF(IFERROR(HLOOKUP(F$2,$M$2:$BL59,$J59,FALSE()),"")="","",IFERROR(HLOOKUP(F$2,$M$2:$BL59,$J59,FALSE()),""))</f>
        <v/>
      </c>
      <c r="G59" s="1" t="str">
        <f aca="false">IF(IFERROR(HLOOKUP(G$2,$M$2:$BL59,$J59,FALSE()),"")="","",IFERROR(HLOOKUP(G$2,$M$2:$BL59,$J59,FALSE()),""))</f>
        <v/>
      </c>
      <c r="J59" s="5" t="n">
        <f aca="false">+J58+1</f>
        <v>58</v>
      </c>
      <c r="L59" s="1" t="s">
        <v>72</v>
      </c>
      <c r="M59" s="1" t="s">
        <v>356</v>
      </c>
      <c r="N59" s="1" t="s">
        <v>132</v>
      </c>
      <c r="O59" s="1" t="s">
        <v>357</v>
      </c>
      <c r="P59" s="1" t="s">
        <v>358</v>
      </c>
      <c r="Q59" s="1" t="s">
        <v>343</v>
      </c>
      <c r="R59" s="1" t="s">
        <v>359</v>
      </c>
      <c r="S59" s="1" t="s">
        <v>360</v>
      </c>
      <c r="T59" s="1" t="s">
        <v>361</v>
      </c>
      <c r="V59" s="1" t="s">
        <v>362</v>
      </c>
      <c r="W59" s="1" t="s">
        <v>363</v>
      </c>
      <c r="X59" s="1" t="s">
        <v>364</v>
      </c>
      <c r="Y59" s="1" t="s">
        <v>364</v>
      </c>
      <c r="Z59" s="1" t="s">
        <v>365</v>
      </c>
    </row>
    <row r="60" customFormat="false" ht="15" hidden="false" customHeight="true" outlineLevel="0" collapsed="false">
      <c r="A60" s="1" t="str">
        <f aca="false">+L60</f>
        <v>BB</v>
      </c>
      <c r="B60" s="1" t="str">
        <f aca="false">IF(IFERROR(HLOOKUP(B$2,$M$2:$BL60,$J60,FALSE()),"")="","",IFERROR(HLOOKUP(B$2,$M$2:$BL60,$J60,FALSE()),""))</f>
        <v>Moderate diversification by country, region and location</v>
      </c>
      <c r="C60" s="1" t="str">
        <f aca="false">IF(IFERROR(HLOOKUP(C$2,$M$2:$BL60,$J60,FALSE()),"")="","",IFERROR(HLOOKUP(C$2,$M$2:$BL60,$J60,FALSE()),""))</f>
        <v/>
      </c>
      <c r="D60" s="1" t="str">
        <f aca="false">IF(IFERROR(HLOOKUP(D$2,$M$2:$BL60,$J60,FALSE()),"")="","",IFERROR(HLOOKUP(D$2,$M$2:$BL60,$J60,FALSE()),""))</f>
        <v/>
      </c>
      <c r="E60" s="1" t="str">
        <f aca="false">IF(IFERROR(HLOOKUP(E$2,$M$2:$BL60,$J60,FALSE()),"")="","",IFERROR(HLOOKUP(E$2,$M$2:$BL60,$J60,FALSE()),""))</f>
        <v/>
      </c>
      <c r="F60" s="1" t="str">
        <f aca="false">IF(IFERROR(HLOOKUP(F$2,$M$2:$BL60,$J60,FALSE()),"")="","",IFERROR(HLOOKUP(F$2,$M$2:$BL60,$J60,FALSE()),""))</f>
        <v/>
      </c>
      <c r="G60" s="1" t="str">
        <f aca="false">IF(IFERROR(HLOOKUP(G$2,$M$2:$BL60,$J60,FALSE()),"")="","",IFERROR(HLOOKUP(G$2,$M$2:$BL60,$J60,FALSE()),""))</f>
        <v/>
      </c>
      <c r="J60" s="5" t="n">
        <f aca="false">+J59+1</f>
        <v>59</v>
      </c>
      <c r="L60" s="1" t="s">
        <v>94</v>
      </c>
      <c r="M60" s="1" t="s">
        <v>366</v>
      </c>
      <c r="N60" s="1" t="s">
        <v>146</v>
      </c>
      <c r="O60" s="1" t="s">
        <v>367</v>
      </c>
      <c r="P60" s="1" t="s">
        <v>368</v>
      </c>
      <c r="Q60" s="1" t="s">
        <v>369</v>
      </c>
      <c r="R60" s="1" t="s">
        <v>370</v>
      </c>
      <c r="S60" s="1" t="s">
        <v>371</v>
      </c>
      <c r="T60" s="1" t="s">
        <v>372</v>
      </c>
      <c r="V60" s="1" t="s">
        <v>373</v>
      </c>
      <c r="W60" s="1" t="s">
        <v>374</v>
      </c>
      <c r="X60" s="1" t="s">
        <v>375</v>
      </c>
      <c r="Y60" s="1" t="s">
        <v>375</v>
      </c>
      <c r="Z60" s="1" t="s">
        <v>376</v>
      </c>
    </row>
    <row r="61" customFormat="false" ht="15" hidden="false" customHeight="true" outlineLevel="0" collapsed="false">
      <c r="A61" s="1" t="str">
        <f aca="false">+L61</f>
        <v>B</v>
      </c>
      <c r="B61" s="1" t="str">
        <f aca="false">IF(IFERROR(HLOOKUP(B$2,$M$2:$BL61,$J61,FALSE()),"")="","",IFERROR(HLOOKUP(B$2,$M$2:$BL61,$J61,FALSE()),""))</f>
        <v>Low diversification by country, region and location </v>
      </c>
      <c r="C61" s="1" t="str">
        <f aca="false">IF(IFERROR(HLOOKUP(C$2,$M$2:$BL61,$J61,FALSE()),"")="","",IFERROR(HLOOKUP(C$2,$M$2:$BL61,$J61,FALSE()),""))</f>
        <v/>
      </c>
      <c r="D61" s="1" t="str">
        <f aca="false">IF(IFERROR(HLOOKUP(D$2,$M$2:$BL61,$J61,FALSE()),"")="","",IFERROR(HLOOKUP(D$2,$M$2:$BL61,$J61,FALSE()),""))</f>
        <v/>
      </c>
      <c r="E61" s="1" t="str">
        <f aca="false">IF(IFERROR(HLOOKUP(E$2,$M$2:$BL61,$J61,FALSE()),"")="","",IFERROR(HLOOKUP(E$2,$M$2:$BL61,$J61,FALSE()),""))</f>
        <v/>
      </c>
      <c r="F61" s="1" t="str">
        <f aca="false">IF(IFERROR(HLOOKUP(F$2,$M$2:$BL61,$J61,FALSE()),"")="","",IFERROR(HLOOKUP(F$2,$M$2:$BL61,$J61,FALSE()),""))</f>
        <v/>
      </c>
      <c r="G61" s="1" t="str">
        <f aca="false">IF(IFERROR(HLOOKUP(G$2,$M$2:$BL61,$J61,FALSE()),"")="","",IFERROR(HLOOKUP(G$2,$M$2:$BL61,$J61,FALSE()),""))</f>
        <v/>
      </c>
      <c r="J61" s="5" t="n">
        <f aca="false">+J60+1</f>
        <v>60</v>
      </c>
      <c r="L61" s="1" t="s">
        <v>136</v>
      </c>
      <c r="M61" s="1" t="s">
        <v>377</v>
      </c>
      <c r="N61" s="1" t="s">
        <v>291</v>
      </c>
      <c r="O61" s="1" t="s">
        <v>378</v>
      </c>
      <c r="P61" s="1" t="s">
        <v>379</v>
      </c>
      <c r="Q61" s="1" t="s">
        <v>369</v>
      </c>
      <c r="R61" s="1" t="s">
        <v>380</v>
      </c>
      <c r="S61" s="1" t="s">
        <v>381</v>
      </c>
      <c r="T61" s="1" t="s">
        <v>382</v>
      </c>
      <c r="V61" s="1" t="s">
        <v>383</v>
      </c>
      <c r="W61" s="1" t="s">
        <v>384</v>
      </c>
      <c r="X61" s="1" t="s">
        <v>375</v>
      </c>
      <c r="Y61" s="1" t="s">
        <v>375</v>
      </c>
      <c r="Z61" s="1" t="s">
        <v>385</v>
      </c>
    </row>
    <row r="62" customFormat="false" ht="15" hidden="false" customHeight="true" outlineLevel="0" collapsed="false">
      <c r="A62" s="1" t="str">
        <f aca="false">+L62</f>
        <v>CCC and below</v>
      </c>
      <c r="B62" s="1" t="str">
        <f aca="false">IF(IFERROR(HLOOKUP(B$2,$M$2:$BL62,$J62,FALSE()),"")="","",IFERROR(HLOOKUP(B$2,$M$2:$BL62,$J62,FALSE()),""))</f>
        <v>Single country; weak diversification by region or location </v>
      </c>
      <c r="C62" s="1" t="str">
        <f aca="false">IF(IFERROR(HLOOKUP(C$2,$M$2:$BL62,$J62,FALSE()),"")="","",IFERROR(HLOOKUP(C$2,$M$2:$BL62,$J62,FALSE()),""))</f>
        <v/>
      </c>
      <c r="D62" s="1" t="str">
        <f aca="false">IF(IFERROR(HLOOKUP(D$2,$M$2:$BL62,$J62,FALSE()),"")="","",IFERROR(HLOOKUP(D$2,$M$2:$BL62,$J62,FALSE()),""))</f>
        <v/>
      </c>
      <c r="E62" s="1" t="str">
        <f aca="false">IF(IFERROR(HLOOKUP(E$2,$M$2:$BL62,$J62,FALSE()),"")="","",IFERROR(HLOOKUP(E$2,$M$2:$BL62,$J62,FALSE()),""))</f>
        <v/>
      </c>
      <c r="F62" s="1" t="str">
        <f aca="false">IF(IFERROR(HLOOKUP(F$2,$M$2:$BL62,$J62,FALSE()),"")="","",IFERROR(HLOOKUP(F$2,$M$2:$BL62,$J62,FALSE()),""))</f>
        <v/>
      </c>
      <c r="G62" s="1" t="str">
        <f aca="false">IF(IFERROR(HLOOKUP(G$2,$M$2:$BL62,$J62,FALSE()),"")="","",IFERROR(HLOOKUP(G$2,$M$2:$BL62,$J62,FALSE()),""))</f>
        <v/>
      </c>
      <c r="J62" s="5" t="n">
        <f aca="false">+J61+1</f>
        <v>61</v>
      </c>
      <c r="L62" s="1" t="s">
        <v>163</v>
      </c>
      <c r="M62" s="1" t="s">
        <v>386</v>
      </c>
      <c r="N62" s="1" t="s">
        <v>295</v>
      </c>
      <c r="O62" s="1" t="s">
        <v>387</v>
      </c>
      <c r="P62" s="1" t="s">
        <v>388</v>
      </c>
      <c r="Q62" s="1" t="s">
        <v>389</v>
      </c>
      <c r="R62" s="1" t="s">
        <v>390</v>
      </c>
      <c r="S62" s="1" t="s">
        <v>381</v>
      </c>
      <c r="T62" s="1" t="s">
        <v>103</v>
      </c>
      <c r="V62" s="1" t="s">
        <v>103</v>
      </c>
      <c r="W62" s="1" t="s">
        <v>384</v>
      </c>
      <c r="X62" s="1" t="s">
        <v>103</v>
      </c>
      <c r="Y62" s="1" t="s">
        <v>103</v>
      </c>
      <c r="Z62" s="1" t="s">
        <v>385</v>
      </c>
    </row>
    <row r="63" s="14" customFormat="true" ht="15" hidden="false" customHeight="true" outlineLevel="0" collapsed="false">
      <c r="A63" s="13" t="str">
        <f aca="false">+K63</f>
        <v>Factor 2</v>
      </c>
      <c r="B63" s="13" t="str">
        <f aca="false">IF(IFERROR(HLOOKUP(B$2,$M$2:$BL63,$J63,FALSE()),"")="","",IFERROR(HLOOKUP(B$2,$M$2:$BL63,$J63,FALSE()),""))</f>
        <v>Supplier and customer</v>
      </c>
      <c r="C63" s="13" t="str">
        <f aca="false">IF(IFERROR(HLOOKUP(C$2,$M$2:$BL63,$J63,FALSE()),"")="","",IFERROR(HLOOKUP(C$2,$M$2:$BL63,$J63,FALSE()),""))</f>
        <v/>
      </c>
      <c r="D63" s="13" t="str">
        <f aca="false">IF(IFERROR(HLOOKUP(D$2,$M$2:$BL63,$J63,FALSE()),"")="","",IFERROR(HLOOKUP(D$2,$M$2:$BL63,$J63,FALSE()),""))</f>
        <v/>
      </c>
      <c r="E63" s="13" t="str">
        <f aca="false">IF(IFERROR(HLOOKUP(E$2,$M$2:$BL63,$J63,FALSE()),"")="","",IFERROR(HLOOKUP(E$2,$M$2:$BL63,$J63,FALSE()),""))</f>
        <v/>
      </c>
      <c r="F63" s="13" t="str">
        <f aca="false">IF(IFERROR(HLOOKUP(F$2,$M$2:$BL63,$J63,FALSE()),"")="","",IFERROR(HLOOKUP(F$2,$M$2:$BL63,$J63,FALSE()),""))</f>
        <v/>
      </c>
      <c r="G63" s="13" t="str">
        <f aca="false">IF(IFERROR(HLOOKUP(G$2,$M$2:$BL63,$J63,FALSE()),"")="","",IFERROR(HLOOKUP(G$2,$M$2:$BL63,$J63,FALSE()),""))</f>
        <v/>
      </c>
      <c r="H63" s="13"/>
      <c r="J63" s="15" t="n">
        <f aca="false">+J62+1</f>
        <v>62</v>
      </c>
      <c r="K63" s="14" t="s">
        <v>173</v>
      </c>
      <c r="M63" s="14" t="s">
        <v>391</v>
      </c>
      <c r="N63" s="14" t="s">
        <v>392</v>
      </c>
      <c r="O63" s="14" t="s">
        <v>393</v>
      </c>
      <c r="P63" s="14" t="s">
        <v>394</v>
      </c>
      <c r="Q63" s="14" t="s">
        <v>395</v>
      </c>
      <c r="R63" s="14" t="s">
        <v>396</v>
      </c>
      <c r="S63" s="14" t="s">
        <v>397</v>
      </c>
      <c r="T63" s="14" t="s">
        <v>398</v>
      </c>
      <c r="V63" s="14" t="s">
        <v>399</v>
      </c>
      <c r="W63" s="14" t="s">
        <v>400</v>
      </c>
      <c r="X63" s="14" t="s">
        <v>401</v>
      </c>
      <c r="Y63" s="14" t="s">
        <v>402</v>
      </c>
      <c r="Z63" s="14" t="s">
        <v>336</v>
      </c>
    </row>
    <row r="64" customFormat="false" ht="15" hidden="false" customHeight="true" outlineLevel="0" collapsed="false">
      <c r="A64" s="1" t="str">
        <f aca="false">+L64</f>
        <v>AA and above</v>
      </c>
      <c r="B64" s="1" t="str">
        <f aca="false">IF(IFERROR(HLOOKUP(B$2,$M$2:$BL64,$J64,FALSE()),"")="","",IFERROR(HLOOKUP(B$2,$M$2:$BL64,$J64,FALSE()),""))</f>
        <v>Broadly diversified regarding number of customers and suppliers</v>
      </c>
      <c r="C64" s="1" t="str">
        <f aca="false">IF(IFERROR(HLOOKUP(C$2,$M$2:$BL64,$J64,FALSE()),"")="","",IFERROR(HLOOKUP(C$2,$M$2:$BL64,$J64,FALSE()),""))</f>
        <v/>
      </c>
      <c r="D64" s="1" t="str">
        <f aca="false">IF(IFERROR(HLOOKUP(D$2,$M$2:$BL64,$J64,FALSE()),"")="","",IFERROR(HLOOKUP(D$2,$M$2:$BL64,$J64,FALSE()),""))</f>
        <v/>
      </c>
      <c r="E64" s="1" t="str">
        <f aca="false">IF(IFERROR(HLOOKUP(E$2,$M$2:$BL64,$J64,FALSE()),"")="","",IFERROR(HLOOKUP(E$2,$M$2:$BL64,$J64,FALSE()),""))</f>
        <v/>
      </c>
      <c r="F64" s="1" t="str">
        <f aca="false">IF(IFERROR(HLOOKUP(F$2,$M$2:$BL64,$J64,FALSE()),"")="","",IFERROR(HLOOKUP(F$2,$M$2:$BL64,$J64,FALSE()),""))</f>
        <v/>
      </c>
      <c r="G64" s="1" t="str">
        <f aca="false">IF(IFERROR(HLOOKUP(G$2,$M$2:$BL64,$J64,FALSE()),"")="","",IFERROR(HLOOKUP(G$2,$M$2:$BL64,$J64,FALSE()),""))</f>
        <v/>
      </c>
      <c r="J64" s="5" t="n">
        <f aca="false">+J63+1</f>
        <v>63</v>
      </c>
      <c r="L64" s="1" t="s">
        <v>30</v>
      </c>
      <c r="M64" s="1" t="s">
        <v>403</v>
      </c>
      <c r="N64" s="1" t="s">
        <v>104</v>
      </c>
      <c r="O64" s="1" t="s">
        <v>404</v>
      </c>
      <c r="P64" s="1" t="s">
        <v>405</v>
      </c>
      <c r="Q64" s="1" t="s">
        <v>406</v>
      </c>
      <c r="R64" s="1" t="s">
        <v>407</v>
      </c>
      <c r="S64" s="1" t="s">
        <v>408</v>
      </c>
      <c r="T64" s="1" t="s">
        <v>409</v>
      </c>
      <c r="V64" s="1" t="s">
        <v>103</v>
      </c>
      <c r="W64" s="1" t="s">
        <v>410</v>
      </c>
      <c r="X64" s="1" t="s">
        <v>411</v>
      </c>
      <c r="Y64" s="1" t="s">
        <v>412</v>
      </c>
      <c r="Z64" s="1" t="s">
        <v>413</v>
      </c>
    </row>
    <row r="65" customFormat="false" ht="15" hidden="false" customHeight="true" outlineLevel="0" collapsed="false">
      <c r="A65" s="1" t="str">
        <f aca="false">+L65</f>
        <v>A</v>
      </c>
      <c r="B65" s="1" t="str">
        <f aca="false">IF(IFERROR(HLOOKUP(B$2,$M$2:$BL65,$J65,FALSE()),"")="","",IFERROR(HLOOKUP(B$2,$M$2:$BL65,$J65,FALSE()),""))</f>
        <v>Broadly diversified regarding number of customers and suppliers</v>
      </c>
      <c r="C65" s="1" t="str">
        <f aca="false">IF(IFERROR(HLOOKUP(C$2,$M$2:$BL65,$J65,FALSE()),"")="","",IFERROR(HLOOKUP(C$2,$M$2:$BL65,$J65,FALSE()),""))</f>
        <v/>
      </c>
      <c r="D65" s="1" t="str">
        <f aca="false">IF(IFERROR(HLOOKUP(D$2,$M$2:$BL65,$J65,FALSE()),"")="","",IFERROR(HLOOKUP(D$2,$M$2:$BL65,$J65,FALSE()),""))</f>
        <v/>
      </c>
      <c r="E65" s="1" t="str">
        <f aca="false">IF(IFERROR(HLOOKUP(E$2,$M$2:$BL65,$J65,FALSE()),"")="","",IFERROR(HLOOKUP(E$2,$M$2:$BL65,$J65,FALSE()),""))</f>
        <v/>
      </c>
      <c r="F65" s="1" t="str">
        <f aca="false">IF(IFERROR(HLOOKUP(F$2,$M$2:$BL65,$J65,FALSE()),"")="","",IFERROR(HLOOKUP(F$2,$M$2:$BL65,$J65,FALSE()),""))</f>
        <v/>
      </c>
      <c r="G65" s="1" t="str">
        <f aca="false">IF(IFERROR(HLOOKUP(G$2,$M$2:$BL65,$J65,FALSE()),"")="","",IFERROR(HLOOKUP(G$2,$M$2:$BL65,$J65,FALSE()),""))</f>
        <v/>
      </c>
      <c r="J65" s="5" t="n">
        <f aca="false">+J64+1</f>
        <v>64</v>
      </c>
      <c r="L65" s="1" t="s">
        <v>63</v>
      </c>
      <c r="M65" s="1" t="s">
        <v>403</v>
      </c>
      <c r="N65" s="1" t="s">
        <v>118</v>
      </c>
      <c r="O65" s="1" t="s">
        <v>414</v>
      </c>
      <c r="P65" s="1" t="s">
        <v>405</v>
      </c>
      <c r="Q65" s="1" t="s">
        <v>415</v>
      </c>
      <c r="R65" s="1" t="s">
        <v>407</v>
      </c>
      <c r="S65" s="1" t="s">
        <v>408</v>
      </c>
      <c r="T65" s="1" t="s">
        <v>416</v>
      </c>
      <c r="V65" s="1" t="s">
        <v>417</v>
      </c>
      <c r="W65" s="1" t="s">
        <v>418</v>
      </c>
      <c r="X65" s="1" t="s">
        <v>260</v>
      </c>
      <c r="Y65" s="1" t="s">
        <v>419</v>
      </c>
      <c r="Z65" s="1" t="s">
        <v>420</v>
      </c>
    </row>
    <row r="66" customFormat="false" ht="15" hidden="false" customHeight="true" outlineLevel="0" collapsed="false">
      <c r="A66" s="1" t="str">
        <f aca="false">+L66</f>
        <v>BBB</v>
      </c>
      <c r="B66" s="1" t="str">
        <f aca="false">IF(IFERROR(HLOOKUP(B$2,$M$2:$BL66,$J66,FALSE()),"")="","",IFERROR(HLOOKUP(B$2,$M$2:$BL66,$J66,FALSE()),""))</f>
        <v>Adequately diversified regarding number of customers and suppliers</v>
      </c>
      <c r="C66" s="1" t="str">
        <f aca="false">IF(IFERROR(HLOOKUP(C$2,$M$2:$BL66,$J66,FALSE()),"")="","",IFERROR(HLOOKUP(C$2,$M$2:$BL66,$J66,FALSE()),""))</f>
        <v/>
      </c>
      <c r="D66" s="1" t="str">
        <f aca="false">IF(IFERROR(HLOOKUP(D$2,$M$2:$BL66,$J66,FALSE()),"")="","",IFERROR(HLOOKUP(D$2,$M$2:$BL66,$J66,FALSE()),""))</f>
        <v/>
      </c>
      <c r="E66" s="1" t="str">
        <f aca="false">IF(IFERROR(HLOOKUP(E$2,$M$2:$BL66,$J66,FALSE()),"")="","",IFERROR(HLOOKUP(E$2,$M$2:$BL66,$J66,FALSE()),""))</f>
        <v/>
      </c>
      <c r="F66" s="1" t="str">
        <f aca="false">IF(IFERROR(HLOOKUP(F$2,$M$2:$BL66,$J66,FALSE()),"")="","",IFERROR(HLOOKUP(F$2,$M$2:$BL66,$J66,FALSE()),""))</f>
        <v/>
      </c>
      <c r="G66" s="1" t="str">
        <f aca="false">IF(IFERROR(HLOOKUP(G$2,$M$2:$BL66,$J66,FALSE()),"")="","",IFERROR(HLOOKUP(G$2,$M$2:$BL66,$J66,FALSE()),""))</f>
        <v/>
      </c>
      <c r="J66" s="5" t="n">
        <f aca="false">+J65+1</f>
        <v>65</v>
      </c>
      <c r="L66" s="1" t="s">
        <v>72</v>
      </c>
      <c r="M66" s="1" t="s">
        <v>421</v>
      </c>
      <c r="N66" s="1" t="s">
        <v>132</v>
      </c>
      <c r="O66" s="1" t="s">
        <v>422</v>
      </c>
      <c r="P66" s="1" t="s">
        <v>423</v>
      </c>
      <c r="Q66" s="1" t="s">
        <v>424</v>
      </c>
      <c r="R66" s="1" t="s">
        <v>425</v>
      </c>
      <c r="S66" s="1" t="s">
        <v>426</v>
      </c>
      <c r="T66" s="1" t="s">
        <v>427</v>
      </c>
      <c r="V66" s="1" t="s">
        <v>428</v>
      </c>
      <c r="W66" s="1" t="s">
        <v>291</v>
      </c>
      <c r="X66" s="1" t="s">
        <v>266</v>
      </c>
      <c r="Y66" s="1" t="s">
        <v>429</v>
      </c>
      <c r="Z66" s="1" t="s">
        <v>430</v>
      </c>
    </row>
    <row r="67" customFormat="false" ht="15" hidden="false" customHeight="true" outlineLevel="0" collapsed="false">
      <c r="A67" s="1" t="str">
        <f aca="false">+L67</f>
        <v>BB</v>
      </c>
      <c r="B67" s="1" t="str">
        <f aca="false">IF(IFERROR(HLOOKUP(B$2,$M$2:$BL67,$J67,FALSE()),"")="","",IFERROR(HLOOKUP(B$2,$M$2:$BL67,$J67,FALSE()),""))</f>
        <v>Some dependence on certain customers and/or suppliers </v>
      </c>
      <c r="C67" s="1" t="str">
        <f aca="false">IF(IFERROR(HLOOKUP(C$2,$M$2:$BL67,$J67,FALSE()),"")="","",IFERROR(HLOOKUP(C$2,$M$2:$BL67,$J67,FALSE()),""))</f>
        <v/>
      </c>
      <c r="D67" s="1" t="str">
        <f aca="false">IF(IFERROR(HLOOKUP(D$2,$M$2:$BL67,$J67,FALSE()),"")="","",IFERROR(HLOOKUP(D$2,$M$2:$BL67,$J67,FALSE()),""))</f>
        <v/>
      </c>
      <c r="E67" s="1" t="str">
        <f aca="false">IF(IFERROR(HLOOKUP(E$2,$M$2:$BL67,$J67,FALSE()),"")="","",IFERROR(HLOOKUP(E$2,$M$2:$BL67,$J67,FALSE()),""))</f>
        <v/>
      </c>
      <c r="F67" s="1" t="str">
        <f aca="false">IF(IFERROR(HLOOKUP(F$2,$M$2:$BL67,$J67,FALSE()),"")="","",IFERROR(HLOOKUP(F$2,$M$2:$BL67,$J67,FALSE()),""))</f>
        <v/>
      </c>
      <c r="G67" s="1" t="str">
        <f aca="false">IF(IFERROR(HLOOKUP(G$2,$M$2:$BL67,$J67,FALSE()),"")="","",IFERROR(HLOOKUP(G$2,$M$2:$BL67,$J67,FALSE()),""))</f>
        <v/>
      </c>
      <c r="J67" s="5" t="n">
        <f aca="false">+J66+1</f>
        <v>66</v>
      </c>
      <c r="L67" s="1" t="s">
        <v>94</v>
      </c>
      <c r="M67" s="1" t="s">
        <v>431</v>
      </c>
      <c r="N67" s="1" t="s">
        <v>146</v>
      </c>
      <c r="O67" s="1" t="s">
        <v>432</v>
      </c>
      <c r="P67" s="1" t="s">
        <v>433</v>
      </c>
      <c r="Q67" s="1" t="s">
        <v>434</v>
      </c>
      <c r="R67" s="1" t="s">
        <v>435</v>
      </c>
      <c r="S67" s="1" t="s">
        <v>436</v>
      </c>
      <c r="T67" s="1" t="s">
        <v>437</v>
      </c>
      <c r="V67" s="1" t="s">
        <v>438</v>
      </c>
      <c r="W67" s="1" t="s">
        <v>146</v>
      </c>
      <c r="X67" s="1" t="s">
        <v>439</v>
      </c>
      <c r="Y67" s="1" t="s">
        <v>440</v>
      </c>
      <c r="Z67" s="1" t="s">
        <v>441</v>
      </c>
    </row>
    <row r="68" customFormat="false" ht="15" hidden="false" customHeight="true" outlineLevel="0" collapsed="false">
      <c r="A68" s="1" t="str">
        <f aca="false">+L68</f>
        <v>B</v>
      </c>
      <c r="B68" s="1" t="str">
        <f aca="false">IF(IFERROR(HLOOKUP(B$2,$M$2:$BL68,$J68,FALSE()),"")="","",IFERROR(HLOOKUP(B$2,$M$2:$BL68,$J68,FALSE()),""))</f>
        <v>Heavy dependence on single customer and/or supplier</v>
      </c>
      <c r="C68" s="1" t="str">
        <f aca="false">IF(IFERROR(HLOOKUP(C$2,$M$2:$BL68,$J68,FALSE()),"")="","",IFERROR(HLOOKUP(C$2,$M$2:$BL68,$J68,FALSE()),""))</f>
        <v/>
      </c>
      <c r="D68" s="1" t="str">
        <f aca="false">IF(IFERROR(HLOOKUP(D$2,$M$2:$BL68,$J68,FALSE()),"")="","",IFERROR(HLOOKUP(D$2,$M$2:$BL68,$J68,FALSE()),""))</f>
        <v/>
      </c>
      <c r="E68" s="1" t="str">
        <f aca="false">IF(IFERROR(HLOOKUP(E$2,$M$2:$BL68,$J68,FALSE()),"")="","",IFERROR(HLOOKUP(E$2,$M$2:$BL68,$J68,FALSE()),""))</f>
        <v/>
      </c>
      <c r="F68" s="1" t="str">
        <f aca="false">IF(IFERROR(HLOOKUP(F$2,$M$2:$BL68,$J68,FALSE()),"")="","",IFERROR(HLOOKUP(F$2,$M$2:$BL68,$J68,FALSE()),""))</f>
        <v/>
      </c>
      <c r="G68" s="1" t="str">
        <f aca="false">IF(IFERROR(HLOOKUP(G$2,$M$2:$BL68,$J68,FALSE()),"")="","",IFERROR(HLOOKUP(G$2,$M$2:$BL68,$J68,FALSE()),""))</f>
        <v/>
      </c>
      <c r="J68" s="5" t="n">
        <f aca="false">+J67+1</f>
        <v>67</v>
      </c>
      <c r="L68" s="1" t="s">
        <v>136</v>
      </c>
      <c r="M68" s="1" t="s">
        <v>442</v>
      </c>
      <c r="N68" s="1" t="s">
        <v>291</v>
      </c>
      <c r="O68" s="1" t="s">
        <v>443</v>
      </c>
      <c r="P68" s="1" t="s">
        <v>444</v>
      </c>
      <c r="Q68" s="1" t="s">
        <v>445</v>
      </c>
      <c r="R68" s="1" t="s">
        <v>446</v>
      </c>
      <c r="S68" s="1" t="s">
        <v>447</v>
      </c>
      <c r="T68" s="1" t="s">
        <v>448</v>
      </c>
      <c r="V68" s="1" t="s">
        <v>449</v>
      </c>
      <c r="W68" s="1" t="s">
        <v>450</v>
      </c>
      <c r="X68" s="1" t="s">
        <v>451</v>
      </c>
      <c r="Y68" s="1" t="s">
        <v>452</v>
      </c>
      <c r="Z68" s="1" t="s">
        <v>453</v>
      </c>
    </row>
    <row r="69" customFormat="false" ht="15" hidden="false" customHeight="true" outlineLevel="0" collapsed="false">
      <c r="A69" s="1" t="str">
        <f aca="false">+L69</f>
        <v>CCC and below</v>
      </c>
      <c r="B69" s="1" t="str">
        <f aca="false">IF(IFERROR(HLOOKUP(B$2,$M$2:$BL69,$J69,FALSE()),"")="","",IFERROR(HLOOKUP(B$2,$M$2:$BL69,$J69,FALSE()),""))</f>
        <v>Heavy dependence on single customer and/or supplier</v>
      </c>
      <c r="C69" s="1" t="str">
        <f aca="false">IF(IFERROR(HLOOKUP(C$2,$M$2:$BL69,$J69,FALSE()),"")="","",IFERROR(HLOOKUP(C$2,$M$2:$BL69,$J69,FALSE()),""))</f>
        <v/>
      </c>
      <c r="D69" s="1" t="str">
        <f aca="false">IF(IFERROR(HLOOKUP(D$2,$M$2:$BL69,$J69,FALSE()),"")="","",IFERROR(HLOOKUP(D$2,$M$2:$BL69,$J69,FALSE()),""))</f>
        <v/>
      </c>
      <c r="E69" s="1" t="str">
        <f aca="false">IF(IFERROR(HLOOKUP(E$2,$M$2:$BL69,$J69,FALSE()),"")="","",IFERROR(HLOOKUP(E$2,$M$2:$BL69,$J69,FALSE()),""))</f>
        <v/>
      </c>
      <c r="F69" s="1" t="str">
        <f aca="false">IF(IFERROR(HLOOKUP(F$2,$M$2:$BL69,$J69,FALSE()),"")="","",IFERROR(HLOOKUP(F$2,$M$2:$BL69,$J69,FALSE()),""))</f>
        <v/>
      </c>
      <c r="G69" s="1" t="str">
        <f aca="false">IF(IFERROR(HLOOKUP(G$2,$M$2:$BL69,$J69,FALSE()),"")="","",IFERROR(HLOOKUP(G$2,$M$2:$BL69,$J69,FALSE()),""))</f>
        <v/>
      </c>
      <c r="J69" s="5" t="n">
        <f aca="false">+J68+1</f>
        <v>68</v>
      </c>
      <c r="L69" s="1" t="s">
        <v>163</v>
      </c>
      <c r="M69" s="1" t="s">
        <v>442</v>
      </c>
      <c r="N69" s="1" t="s">
        <v>295</v>
      </c>
      <c r="O69" s="1" t="s">
        <v>454</v>
      </c>
      <c r="P69" s="1" t="s">
        <v>444</v>
      </c>
      <c r="Q69" s="1" t="s">
        <v>445</v>
      </c>
      <c r="R69" s="1" t="s">
        <v>455</v>
      </c>
      <c r="S69" s="1" t="s">
        <v>456</v>
      </c>
      <c r="T69" s="1" t="s">
        <v>103</v>
      </c>
      <c r="V69" s="1" t="s">
        <v>103</v>
      </c>
      <c r="W69" s="1" t="s">
        <v>457</v>
      </c>
      <c r="X69" s="1" t="s">
        <v>103</v>
      </c>
      <c r="Y69" s="1" t="s">
        <v>103</v>
      </c>
      <c r="Z69" s="1" t="s">
        <v>453</v>
      </c>
    </row>
    <row r="70" s="14" customFormat="true" ht="15" hidden="false" customHeight="true" outlineLevel="0" collapsed="false">
      <c r="A70" s="13" t="str">
        <f aca="false">+K70</f>
        <v>Factor 3</v>
      </c>
      <c r="B70" s="13" t="str">
        <f aca="false">IF(IFERROR(HLOOKUP(B$2,$M$2:$BL70,$J70,FALSE()),"")="","",IFERROR(HLOOKUP(B$2,$M$2:$BL70,$J70,FALSE()),""))</f>
        <v>Product offering and mix</v>
      </c>
      <c r="C70" s="13" t="str">
        <f aca="false">IF(IFERROR(HLOOKUP(C$2,$M$2:$BL70,$J70,FALSE()),"")="","",IFERROR(HLOOKUP(C$2,$M$2:$BL70,$J70,FALSE()),""))</f>
        <v/>
      </c>
      <c r="D70" s="13" t="str">
        <f aca="false">IF(IFERROR(HLOOKUP(D$2,$M$2:$BL70,$J70,FALSE()),"")="","",IFERROR(HLOOKUP(D$2,$M$2:$BL70,$J70,FALSE()),""))</f>
        <v/>
      </c>
      <c r="E70" s="13" t="str">
        <f aca="false">IF(IFERROR(HLOOKUP(E$2,$M$2:$BL70,$J70,FALSE()),"")="","",IFERROR(HLOOKUP(E$2,$M$2:$BL70,$J70,FALSE()),""))</f>
        <v/>
      </c>
      <c r="F70" s="13" t="str">
        <f aca="false">IF(IFERROR(HLOOKUP(F$2,$M$2:$BL70,$J70,FALSE()),"")="","",IFERROR(HLOOKUP(F$2,$M$2:$BL70,$J70,FALSE()),""))</f>
        <v/>
      </c>
      <c r="G70" s="13" t="str">
        <f aca="false">IF(IFERROR(HLOOKUP(G$2,$M$2:$BL70,$J70,FALSE()),"")="","",IFERROR(HLOOKUP(G$2,$M$2:$BL70,$J70,FALSE()),""))</f>
        <v/>
      </c>
      <c r="H70" s="13"/>
      <c r="J70" s="15" t="n">
        <f aca="false">+J69+1</f>
        <v>69</v>
      </c>
      <c r="K70" s="14" t="s">
        <v>239</v>
      </c>
      <c r="M70" s="14" t="s">
        <v>458</v>
      </c>
      <c r="N70" s="14" t="s">
        <v>459</v>
      </c>
      <c r="O70" s="14" t="s">
        <v>460</v>
      </c>
      <c r="P70" s="14" t="s">
        <v>461</v>
      </c>
      <c r="Q70" s="14" t="s">
        <v>462</v>
      </c>
      <c r="R70" s="14" t="s">
        <v>463</v>
      </c>
      <c r="S70" s="14" t="s">
        <v>464</v>
      </c>
      <c r="T70" s="14" t="s">
        <v>465</v>
      </c>
      <c r="V70" s="14" t="s">
        <v>466</v>
      </c>
      <c r="W70" s="14" t="s">
        <v>467</v>
      </c>
      <c r="X70" s="20" t="s">
        <v>468</v>
      </c>
      <c r="Y70" s="14" t="s">
        <v>469</v>
      </c>
      <c r="Z70" s="14" t="s">
        <v>470</v>
      </c>
    </row>
    <row r="71" customFormat="false" ht="15" hidden="false" customHeight="true" outlineLevel="0" collapsed="false">
      <c r="A71" s="1" t="str">
        <f aca="false">+L71</f>
        <v>AA and above</v>
      </c>
      <c r="B71" s="1" t="str">
        <f aca="false">IF(IFERROR(HLOOKUP(B$2,$M$2:$BL71,$J71,FALSE()),"")="","",IFERROR(HLOOKUP(B$2,$M$2:$BL71,$J71,FALSE()),""))</f>
        <v>Presence in numerous product categories (above 10);  high share of non-cyclical products</v>
      </c>
      <c r="C71" s="1" t="str">
        <f aca="false">IF(IFERROR(HLOOKUP(C$2,$M$2:$BL71,$J71,FALSE()),"")="","",IFERROR(HLOOKUP(C$2,$M$2:$BL71,$J71,FALSE()),""))</f>
        <v/>
      </c>
      <c r="D71" s="1" t="str">
        <f aca="false">IF(IFERROR(HLOOKUP(D$2,$M$2:$BL71,$J71,FALSE()),"")="","",IFERROR(HLOOKUP(D$2,$M$2:$BL71,$J71,FALSE()),""))</f>
        <v/>
      </c>
      <c r="E71" s="1" t="str">
        <f aca="false">IF(IFERROR(HLOOKUP(E$2,$M$2:$BL71,$J71,FALSE()),"")="","",IFERROR(HLOOKUP(E$2,$M$2:$BL71,$J71,FALSE()),""))</f>
        <v/>
      </c>
      <c r="F71" s="1" t="str">
        <f aca="false">IF(IFERROR(HLOOKUP(F$2,$M$2:$BL71,$J71,FALSE()),"")="","",IFERROR(HLOOKUP(F$2,$M$2:$BL71,$J71,FALSE()),""))</f>
        <v/>
      </c>
      <c r="G71" s="1" t="str">
        <f aca="false">IF(IFERROR(HLOOKUP(G$2,$M$2:$BL71,$J71,FALSE()),"")="","",IFERROR(HLOOKUP(G$2,$M$2:$BL71,$J71,FALSE()),""))</f>
        <v/>
      </c>
      <c r="J71" s="5" t="n">
        <f aca="false">+J70+1</f>
        <v>70</v>
      </c>
      <c r="L71" s="1" t="s">
        <v>30</v>
      </c>
      <c r="M71" s="1" t="s">
        <v>471</v>
      </c>
      <c r="N71" s="1" t="s">
        <v>472</v>
      </c>
      <c r="O71" s="1" t="s">
        <v>168</v>
      </c>
      <c r="P71" s="1" t="s">
        <v>473</v>
      </c>
      <c r="Q71" s="1" t="s">
        <v>168</v>
      </c>
      <c r="R71" s="1" t="s">
        <v>474</v>
      </c>
      <c r="S71" s="1" t="s">
        <v>436</v>
      </c>
      <c r="T71" s="1" t="s">
        <v>475</v>
      </c>
      <c r="V71" s="1" t="s">
        <v>103</v>
      </c>
      <c r="W71" s="1" t="s">
        <v>476</v>
      </c>
      <c r="X71" s="1" t="s">
        <v>192</v>
      </c>
      <c r="Y71" s="1" t="s">
        <v>224</v>
      </c>
      <c r="Z71" s="1" t="s">
        <v>477</v>
      </c>
    </row>
    <row r="72" customFormat="false" ht="15" hidden="false" customHeight="true" outlineLevel="0" collapsed="false">
      <c r="A72" s="1" t="str">
        <f aca="false">+L72</f>
        <v>A</v>
      </c>
      <c r="B72" s="1" t="str">
        <f aca="false">IF(IFERROR(HLOOKUP(B$2,$M$2:$BL72,$J72,FALSE()),"")="","",IFERROR(HLOOKUP(B$2,$M$2:$BL72,$J72,FALSE()),""))</f>
        <v>Presence in numerous product categories (above 10);  high share of non-cyclical products</v>
      </c>
      <c r="C72" s="1" t="str">
        <f aca="false">IF(IFERROR(HLOOKUP(C$2,$M$2:$BL72,$J72,FALSE()),"")="","",IFERROR(HLOOKUP(C$2,$M$2:$BL72,$J72,FALSE()),""))</f>
        <v/>
      </c>
      <c r="D72" s="1" t="str">
        <f aca="false">IF(IFERROR(HLOOKUP(D$2,$M$2:$BL72,$J72,FALSE()),"")="","",IFERROR(HLOOKUP(D$2,$M$2:$BL72,$J72,FALSE()),""))</f>
        <v/>
      </c>
      <c r="E72" s="1" t="str">
        <f aca="false">IF(IFERROR(HLOOKUP(E$2,$M$2:$BL72,$J72,FALSE()),"")="","",IFERROR(HLOOKUP(E$2,$M$2:$BL72,$J72,FALSE()),""))</f>
        <v/>
      </c>
      <c r="F72" s="1" t="str">
        <f aca="false">IF(IFERROR(HLOOKUP(F$2,$M$2:$BL72,$J72,FALSE()),"")="","",IFERROR(HLOOKUP(F$2,$M$2:$BL72,$J72,FALSE()),""))</f>
        <v/>
      </c>
      <c r="G72" s="1" t="str">
        <f aca="false">IF(IFERROR(HLOOKUP(G$2,$M$2:$BL72,$J72,FALSE()),"")="","",IFERROR(HLOOKUP(G$2,$M$2:$BL72,$J72,FALSE()),""))</f>
        <v/>
      </c>
      <c r="J72" s="5" t="n">
        <f aca="false">+J71+1</f>
        <v>71</v>
      </c>
      <c r="L72" s="1" t="s">
        <v>63</v>
      </c>
      <c r="M72" s="1" t="s">
        <v>478</v>
      </c>
      <c r="N72" s="1" t="s">
        <v>479</v>
      </c>
      <c r="O72" s="1" t="s">
        <v>168</v>
      </c>
      <c r="P72" s="1" t="s">
        <v>473</v>
      </c>
      <c r="Q72" s="1" t="s">
        <v>168</v>
      </c>
      <c r="R72" s="1" t="s">
        <v>474</v>
      </c>
      <c r="S72" s="1" t="s">
        <v>436</v>
      </c>
      <c r="T72" s="1" t="s">
        <v>475</v>
      </c>
      <c r="V72" s="1" t="s">
        <v>480</v>
      </c>
      <c r="W72" s="1" t="s">
        <v>481</v>
      </c>
      <c r="X72" s="1" t="s">
        <v>202</v>
      </c>
      <c r="Y72" s="1" t="s">
        <v>482</v>
      </c>
      <c r="Z72" s="1" t="s">
        <v>477</v>
      </c>
    </row>
    <row r="73" customFormat="false" ht="15" hidden="false" customHeight="true" outlineLevel="0" collapsed="false">
      <c r="A73" s="1" t="str">
        <f aca="false">+L73</f>
        <v>BBB</v>
      </c>
      <c r="B73" s="1" t="str">
        <f aca="false">IF(IFERROR(HLOOKUP(B$2,$M$2:$BL73,$J73,FALSE()),"")="","",IFERROR(HLOOKUP(B$2,$M$2:$BL73,$J73,FALSE()),""))</f>
        <v>Balanced presence in several product categories; predominance of non-cyclical products </v>
      </c>
      <c r="C73" s="1" t="str">
        <f aca="false">IF(IFERROR(HLOOKUP(C$2,$M$2:$BL73,$J73,FALSE()),"")="","",IFERROR(HLOOKUP(C$2,$M$2:$BL73,$J73,FALSE()),""))</f>
        <v/>
      </c>
      <c r="D73" s="1" t="str">
        <f aca="false">IF(IFERROR(HLOOKUP(D$2,$M$2:$BL73,$J73,FALSE()),"")="","",IFERROR(HLOOKUP(D$2,$M$2:$BL73,$J73,FALSE()),""))</f>
        <v/>
      </c>
      <c r="E73" s="1" t="str">
        <f aca="false">IF(IFERROR(HLOOKUP(E$2,$M$2:$BL73,$J73,FALSE()),"")="","",IFERROR(HLOOKUP(E$2,$M$2:$BL73,$J73,FALSE()),""))</f>
        <v/>
      </c>
      <c r="F73" s="1" t="str">
        <f aca="false">IF(IFERROR(HLOOKUP(F$2,$M$2:$BL73,$J73,FALSE()),"")="","",IFERROR(HLOOKUP(F$2,$M$2:$BL73,$J73,FALSE()),""))</f>
        <v/>
      </c>
      <c r="G73" s="1" t="str">
        <f aca="false">IF(IFERROR(HLOOKUP(G$2,$M$2:$BL73,$J73,FALSE()),"")="","",IFERROR(HLOOKUP(G$2,$M$2:$BL73,$J73,FALSE()),""))</f>
        <v/>
      </c>
      <c r="J73" s="5" t="n">
        <f aca="false">+J72+1</f>
        <v>72</v>
      </c>
      <c r="L73" s="1" t="s">
        <v>72</v>
      </c>
      <c r="M73" s="1" t="s">
        <v>478</v>
      </c>
      <c r="N73" s="1" t="s">
        <v>483</v>
      </c>
      <c r="O73" s="1" t="s">
        <v>484</v>
      </c>
      <c r="P73" s="1" t="s">
        <v>485</v>
      </c>
      <c r="Q73" s="1" t="s">
        <v>486</v>
      </c>
      <c r="R73" s="1" t="s">
        <v>487</v>
      </c>
      <c r="S73" s="1" t="s">
        <v>447</v>
      </c>
      <c r="T73" s="1" t="s">
        <v>475</v>
      </c>
      <c r="V73" s="1" t="s">
        <v>488</v>
      </c>
      <c r="W73" s="1" t="s">
        <v>489</v>
      </c>
      <c r="X73" s="1" t="s">
        <v>490</v>
      </c>
      <c r="Y73" s="1" t="s">
        <v>491</v>
      </c>
      <c r="Z73" s="1" t="s">
        <v>492</v>
      </c>
    </row>
    <row r="74" customFormat="false" ht="15" hidden="false" customHeight="true" outlineLevel="0" collapsed="false">
      <c r="A74" s="1" t="str">
        <f aca="false">+L74</f>
        <v>BB</v>
      </c>
      <c r="B74" s="1" t="str">
        <f aca="false">IF(IFERROR(HLOOKUP(B$2,$M$2:$BL74,$J74,FALSE()),"")="","",IFERROR(HLOOKUP(B$2,$M$2:$BL74,$J74,FALSE()),""))</f>
        <v>Presence in few product categories; predominance  of cyclical products</v>
      </c>
      <c r="C74" s="1" t="str">
        <f aca="false">IF(IFERROR(HLOOKUP(C$2,$M$2:$BL74,$J74,FALSE()),"")="","",IFERROR(HLOOKUP(C$2,$M$2:$BL74,$J74,FALSE()),""))</f>
        <v/>
      </c>
      <c r="D74" s="1" t="str">
        <f aca="false">IF(IFERROR(HLOOKUP(D$2,$M$2:$BL74,$J74,FALSE()),"")="","",IFERROR(HLOOKUP(D$2,$M$2:$BL74,$J74,FALSE()),""))</f>
        <v/>
      </c>
      <c r="E74" s="1" t="str">
        <f aca="false">IF(IFERROR(HLOOKUP(E$2,$M$2:$BL74,$J74,FALSE()),"")="","",IFERROR(HLOOKUP(E$2,$M$2:$BL74,$J74,FALSE()),""))</f>
        <v/>
      </c>
      <c r="F74" s="1" t="str">
        <f aca="false">IF(IFERROR(HLOOKUP(F$2,$M$2:$BL74,$J74,FALSE()),"")="","",IFERROR(HLOOKUP(F$2,$M$2:$BL74,$J74,FALSE()),""))</f>
        <v/>
      </c>
      <c r="G74" s="1" t="str">
        <f aca="false">IF(IFERROR(HLOOKUP(G$2,$M$2:$BL74,$J74,FALSE()),"")="","",IFERROR(HLOOKUP(G$2,$M$2:$BL74,$J74,FALSE()),""))</f>
        <v/>
      </c>
      <c r="J74" s="5" t="n">
        <f aca="false">+J73+1</f>
        <v>73</v>
      </c>
      <c r="L74" s="1" t="s">
        <v>94</v>
      </c>
      <c r="M74" s="1" t="s">
        <v>493</v>
      </c>
      <c r="N74" s="1" t="s">
        <v>494</v>
      </c>
      <c r="O74" s="1" t="s">
        <v>495</v>
      </c>
      <c r="P74" s="1" t="s">
        <v>496</v>
      </c>
      <c r="Q74" s="1" t="s">
        <v>497</v>
      </c>
      <c r="R74" s="1" t="s">
        <v>498</v>
      </c>
      <c r="S74" s="1" t="s">
        <v>499</v>
      </c>
      <c r="T74" s="1" t="s">
        <v>500</v>
      </c>
      <c r="V74" s="1" t="s">
        <v>501</v>
      </c>
      <c r="W74" s="1" t="s">
        <v>502</v>
      </c>
      <c r="X74" s="1" t="s">
        <v>503</v>
      </c>
      <c r="Y74" s="1" t="s">
        <v>504</v>
      </c>
      <c r="Z74" s="1" t="s">
        <v>492</v>
      </c>
    </row>
    <row r="75" customFormat="false" ht="15" hidden="false" customHeight="true" outlineLevel="0" collapsed="false">
      <c r="A75" s="1" t="str">
        <f aca="false">+L75</f>
        <v>B</v>
      </c>
      <c r="B75" s="1" t="str">
        <f aca="false">IF(IFERROR(HLOOKUP(B$2,$M$2:$BL75,$J75,FALSE()),"")="","",IFERROR(HLOOKUP(B$2,$M$2:$BL75,$J75,FALSE()),""))</f>
        <v>Concentration in one product category</v>
      </c>
      <c r="C75" s="1" t="str">
        <f aca="false">IF(IFERROR(HLOOKUP(C$2,$M$2:$BL75,$J75,FALSE()),"")="","",IFERROR(HLOOKUP(C$2,$M$2:$BL75,$J75,FALSE()),""))</f>
        <v/>
      </c>
      <c r="D75" s="1" t="str">
        <f aca="false">IF(IFERROR(HLOOKUP(D$2,$M$2:$BL75,$J75,FALSE()),"")="","",IFERROR(HLOOKUP(D$2,$M$2:$BL75,$J75,FALSE()),""))</f>
        <v/>
      </c>
      <c r="E75" s="1" t="str">
        <f aca="false">IF(IFERROR(HLOOKUP(E$2,$M$2:$BL75,$J75,FALSE()),"")="","",IFERROR(HLOOKUP(E$2,$M$2:$BL75,$J75,FALSE()),""))</f>
        <v/>
      </c>
      <c r="F75" s="1" t="str">
        <f aca="false">IF(IFERROR(HLOOKUP(F$2,$M$2:$BL75,$J75,FALSE()),"")="","",IFERROR(HLOOKUP(F$2,$M$2:$BL75,$J75,FALSE()),""))</f>
        <v/>
      </c>
      <c r="G75" s="1" t="str">
        <f aca="false">IF(IFERROR(HLOOKUP(G$2,$M$2:$BL75,$J75,FALSE()),"")="","",IFERROR(HLOOKUP(G$2,$M$2:$BL75,$J75,FALSE()),""))</f>
        <v/>
      </c>
      <c r="J75" s="5" t="n">
        <f aca="false">+J74+1</f>
        <v>74</v>
      </c>
      <c r="L75" s="1" t="s">
        <v>136</v>
      </c>
      <c r="M75" s="1" t="s">
        <v>493</v>
      </c>
      <c r="N75" s="1" t="s">
        <v>505</v>
      </c>
      <c r="O75" s="1" t="s">
        <v>506</v>
      </c>
      <c r="P75" s="1" t="s">
        <v>507</v>
      </c>
      <c r="Q75" s="1" t="s">
        <v>508</v>
      </c>
      <c r="R75" s="1" t="s">
        <v>509</v>
      </c>
      <c r="S75" s="1" t="s">
        <v>510</v>
      </c>
      <c r="T75" s="1" t="s">
        <v>500</v>
      </c>
      <c r="V75" s="1" t="s">
        <v>511</v>
      </c>
      <c r="W75" s="1" t="s">
        <v>512</v>
      </c>
      <c r="X75" s="21" t="n">
        <v>0</v>
      </c>
      <c r="Y75" s="1" t="s">
        <v>513</v>
      </c>
      <c r="Z75" s="1" t="s">
        <v>514</v>
      </c>
    </row>
    <row r="76" customFormat="false" ht="15" hidden="false" customHeight="true" outlineLevel="0" collapsed="false">
      <c r="A76" s="1" t="str">
        <f aca="false">+L76</f>
        <v>CCC and below</v>
      </c>
      <c r="B76" s="1" t="str">
        <f aca="false">IF(IFERROR(HLOOKUP(B$2,$M$2:$BL76,$J76,FALSE()),"")="","",IFERROR(HLOOKUP(B$2,$M$2:$BL76,$J76,FALSE()),""))</f>
        <v>Single cyclical product category</v>
      </c>
      <c r="C76" s="1" t="str">
        <f aca="false">IF(IFERROR(HLOOKUP(C$2,$M$2:$BL76,$J76,FALSE()),"")="","",IFERROR(HLOOKUP(C$2,$M$2:$BL76,$J76,FALSE()),""))</f>
        <v/>
      </c>
      <c r="D76" s="1" t="str">
        <f aca="false">IF(IFERROR(HLOOKUP(D$2,$M$2:$BL76,$J76,FALSE()),"")="","",IFERROR(HLOOKUP(D$2,$M$2:$BL76,$J76,FALSE()),""))</f>
        <v/>
      </c>
      <c r="E76" s="1" t="str">
        <f aca="false">IF(IFERROR(HLOOKUP(E$2,$M$2:$BL76,$J76,FALSE()),"")="","",IFERROR(HLOOKUP(E$2,$M$2:$BL76,$J76,FALSE()),""))</f>
        <v/>
      </c>
      <c r="F76" s="1" t="str">
        <f aca="false">IF(IFERROR(HLOOKUP(F$2,$M$2:$BL76,$J76,FALSE()),"")="","",IFERROR(HLOOKUP(F$2,$M$2:$BL76,$J76,FALSE()),""))</f>
        <v/>
      </c>
      <c r="G76" s="1" t="str">
        <f aca="false">IF(IFERROR(HLOOKUP(G$2,$M$2:$BL76,$J76,FALSE()),"")="","",IFERROR(HLOOKUP(G$2,$M$2:$BL76,$J76,FALSE()),""))</f>
        <v/>
      </c>
      <c r="J76" s="5" t="n">
        <f aca="false">+J75+1</f>
        <v>75</v>
      </c>
      <c r="L76" s="1" t="s">
        <v>163</v>
      </c>
      <c r="M76" s="1" t="s">
        <v>515</v>
      </c>
      <c r="N76" s="1" t="s">
        <v>516</v>
      </c>
      <c r="O76" s="1" t="s">
        <v>517</v>
      </c>
      <c r="P76" s="1" t="s">
        <v>518</v>
      </c>
      <c r="Q76" s="1" t="s">
        <v>519</v>
      </c>
      <c r="R76" s="1" t="s">
        <v>509</v>
      </c>
      <c r="S76" s="1" t="s">
        <v>520</v>
      </c>
      <c r="T76" s="1" t="s">
        <v>500</v>
      </c>
      <c r="V76" s="1" t="s">
        <v>103</v>
      </c>
      <c r="W76" s="1" t="s">
        <v>512</v>
      </c>
      <c r="X76" s="1" t="s">
        <v>103</v>
      </c>
      <c r="Y76" s="1" t="s">
        <v>103</v>
      </c>
      <c r="Z76" s="1" t="s">
        <v>521</v>
      </c>
    </row>
    <row r="77" s="14" customFormat="true" ht="15" hidden="false" customHeight="true" outlineLevel="0" collapsed="false">
      <c r="A77" s="13" t="str">
        <f aca="false">+K77</f>
        <v>Factor 4</v>
      </c>
      <c r="B77" s="13" t="str">
        <f aca="false">IF(IFERROR(HLOOKUP(B$2,$M$2:$BL77,$J77,FALSE()),"")="","",IFERROR(HLOOKUP(B$2,$M$2:$BL77,$J77,FALSE()),""))</f>
        <v>Distribution network</v>
      </c>
      <c r="C77" s="13" t="str">
        <f aca="false">IF(IFERROR(HLOOKUP(C$2,$M$2:$BL77,$J77,FALSE()),"")="","",IFERROR(HLOOKUP(C$2,$M$2:$BL77,$J77,FALSE()),""))</f>
        <v/>
      </c>
      <c r="D77" s="13" t="str">
        <f aca="false">IF(IFERROR(HLOOKUP(D$2,$M$2:$BL77,$J77,FALSE()),"")="","",IFERROR(HLOOKUP(D$2,$M$2:$BL77,$J77,FALSE()),""))</f>
        <v/>
      </c>
      <c r="E77" s="13" t="str">
        <f aca="false">IF(IFERROR(HLOOKUP(E$2,$M$2:$BL77,$J77,FALSE()),"")="","",IFERROR(HLOOKUP(E$2,$M$2:$BL77,$J77,FALSE()),""))</f>
        <v/>
      </c>
      <c r="F77" s="13" t="str">
        <f aca="false">IF(IFERROR(HLOOKUP(F$2,$M$2:$BL77,$J77,FALSE()),"")="","",IFERROR(HLOOKUP(F$2,$M$2:$BL77,$J77,FALSE()),""))</f>
        <v/>
      </c>
      <c r="G77" s="13" t="str">
        <f aca="false">IF(IFERROR(HLOOKUP(G$2,$M$2:$BL77,$J77,FALSE()),"")="","",IFERROR(HLOOKUP(G$2,$M$2:$BL77,$J77,FALSE()),""))</f>
        <v/>
      </c>
      <c r="H77" s="13"/>
      <c r="J77" s="15" t="n">
        <f aca="false">+J76+1</f>
        <v>76</v>
      </c>
      <c r="K77" s="14" t="s">
        <v>275</v>
      </c>
      <c r="N77" s="14" t="s">
        <v>522</v>
      </c>
      <c r="P77" s="14" t="s">
        <v>523</v>
      </c>
      <c r="R77" s="14" t="s">
        <v>523</v>
      </c>
      <c r="S77" s="14" t="s">
        <v>524</v>
      </c>
      <c r="T77" s="14" t="s">
        <v>525</v>
      </c>
      <c r="W77" s="14" t="s">
        <v>526</v>
      </c>
      <c r="X77" s="14" t="s">
        <v>527</v>
      </c>
      <c r="Y77" s="14" t="s">
        <v>528</v>
      </c>
    </row>
    <row r="78" customFormat="false" ht="15" hidden="false" customHeight="true" outlineLevel="0" collapsed="false">
      <c r="A78" s="1" t="str">
        <f aca="false">+L78</f>
        <v>AA and above</v>
      </c>
      <c r="B78" s="1" t="str">
        <f aca="false">IF(IFERROR(HLOOKUP(B$2,$M$2:$BL78,$J78,FALSE()),"")="","",IFERROR(HLOOKUP(B$2,$M$2:$BL78,$J78,FALSE()),""))</f>
        <v>Broadly diversified regarding number of well-established distribution channels</v>
      </c>
      <c r="C78" s="1" t="str">
        <f aca="false">IF(IFERROR(HLOOKUP(C$2,$M$2:$BL78,$J78,FALSE()),"")="","",IFERROR(HLOOKUP(C$2,$M$2:$BL78,$J78,FALSE()),""))</f>
        <v/>
      </c>
      <c r="D78" s="1" t="str">
        <f aca="false">IF(IFERROR(HLOOKUP(D$2,$M$2:$BL78,$J78,FALSE()),"")="","",IFERROR(HLOOKUP(D$2,$M$2:$BL78,$J78,FALSE()),""))</f>
        <v/>
      </c>
      <c r="E78" s="1" t="str">
        <f aca="false">IF(IFERROR(HLOOKUP(E$2,$M$2:$BL78,$J78,FALSE()),"")="","",IFERROR(HLOOKUP(E$2,$M$2:$BL78,$J78,FALSE()),""))</f>
        <v/>
      </c>
      <c r="F78" s="1" t="str">
        <f aca="false">IF(IFERROR(HLOOKUP(F$2,$M$2:$BL78,$J78,FALSE()),"")="","",IFERROR(HLOOKUP(F$2,$M$2:$BL78,$J78,FALSE()),""))</f>
        <v/>
      </c>
      <c r="G78" s="1" t="str">
        <f aca="false">IF(IFERROR(HLOOKUP(G$2,$M$2:$BL78,$J78,FALSE()),"")="","",IFERROR(HLOOKUP(G$2,$M$2:$BL78,$J78,FALSE()),""))</f>
        <v/>
      </c>
      <c r="J78" s="5" t="n">
        <f aca="false">+J77+1</f>
        <v>77</v>
      </c>
      <c r="L78" s="1" t="s">
        <v>30</v>
      </c>
      <c r="N78" s="1" t="s">
        <v>412</v>
      </c>
      <c r="P78" s="1" t="s">
        <v>529</v>
      </c>
      <c r="R78" s="1" t="s">
        <v>530</v>
      </c>
      <c r="S78" s="1" t="s">
        <v>104</v>
      </c>
      <c r="T78" s="1" t="s">
        <v>531</v>
      </c>
      <c r="W78" s="1" t="s">
        <v>410</v>
      </c>
      <c r="X78" s="1" t="s">
        <v>532</v>
      </c>
      <c r="Y78" s="1" t="s">
        <v>533</v>
      </c>
    </row>
    <row r="79" customFormat="false" ht="15" hidden="false" customHeight="true" outlineLevel="0" collapsed="false">
      <c r="A79" s="1" t="str">
        <f aca="false">+L79</f>
        <v>A</v>
      </c>
      <c r="B79" s="1" t="str">
        <f aca="false">IF(IFERROR(HLOOKUP(B$2,$M$2:$BL79,$J79,FALSE()),"")="","",IFERROR(HLOOKUP(B$2,$M$2:$BL79,$J79,FALSE()),""))</f>
        <v>Broadly diversified regarding number of well-established distribution channels</v>
      </c>
      <c r="C79" s="1" t="str">
        <f aca="false">IF(IFERROR(HLOOKUP(C$2,$M$2:$BL79,$J79,FALSE()),"")="","",IFERROR(HLOOKUP(C$2,$M$2:$BL79,$J79,FALSE()),""))</f>
        <v/>
      </c>
      <c r="D79" s="1" t="str">
        <f aca="false">IF(IFERROR(HLOOKUP(D$2,$M$2:$BL79,$J79,FALSE()),"")="","",IFERROR(HLOOKUP(D$2,$M$2:$BL79,$J79,FALSE()),""))</f>
        <v/>
      </c>
      <c r="E79" s="1" t="str">
        <f aca="false">IF(IFERROR(HLOOKUP(E$2,$M$2:$BL79,$J79,FALSE()),"")="","",IFERROR(HLOOKUP(E$2,$M$2:$BL79,$J79,FALSE()),""))</f>
        <v/>
      </c>
      <c r="F79" s="1" t="str">
        <f aca="false">IF(IFERROR(HLOOKUP(F$2,$M$2:$BL79,$J79,FALSE()),"")="","",IFERROR(HLOOKUP(F$2,$M$2:$BL79,$J79,FALSE()),""))</f>
        <v/>
      </c>
      <c r="G79" s="1" t="str">
        <f aca="false">IF(IFERROR(HLOOKUP(G$2,$M$2:$BL79,$J79,FALSE()),"")="","",IFERROR(HLOOKUP(G$2,$M$2:$BL79,$J79,FALSE()),""))</f>
        <v/>
      </c>
      <c r="J79" s="5" t="n">
        <f aca="false">+J78+1</f>
        <v>78</v>
      </c>
      <c r="L79" s="1" t="s">
        <v>63</v>
      </c>
      <c r="N79" s="1" t="s">
        <v>412</v>
      </c>
      <c r="P79" s="1" t="s">
        <v>529</v>
      </c>
      <c r="R79" s="1" t="s">
        <v>530</v>
      </c>
      <c r="S79" s="1" t="s">
        <v>118</v>
      </c>
      <c r="T79" s="1" t="s">
        <v>534</v>
      </c>
      <c r="W79" s="1" t="s">
        <v>418</v>
      </c>
      <c r="X79" s="1" t="s">
        <v>535</v>
      </c>
      <c r="Y79" s="1" t="s">
        <v>536</v>
      </c>
    </row>
    <row r="80" customFormat="false" ht="15" hidden="false" customHeight="true" outlineLevel="0" collapsed="false">
      <c r="A80" s="1" t="str">
        <f aca="false">+L80</f>
        <v>BBB</v>
      </c>
      <c r="B80" s="1" t="str">
        <f aca="false">IF(IFERROR(HLOOKUP(B$2,$M$2:$BL80,$J80,FALSE()),"")="","",IFERROR(HLOOKUP(B$2,$M$2:$BL80,$J80,FALSE()),""))</f>
        <v>Adequately diversified regarding number of well-established distribution channels</v>
      </c>
      <c r="C80" s="1" t="str">
        <f aca="false">IF(IFERROR(HLOOKUP(C$2,$M$2:$BL80,$J80,FALSE()),"")="","",IFERROR(HLOOKUP(C$2,$M$2:$BL80,$J80,FALSE()),""))</f>
        <v/>
      </c>
      <c r="D80" s="1" t="str">
        <f aca="false">IF(IFERROR(HLOOKUP(D$2,$M$2:$BL80,$J80,FALSE()),"")="","",IFERROR(HLOOKUP(D$2,$M$2:$BL80,$J80,FALSE()),""))</f>
        <v/>
      </c>
      <c r="E80" s="1" t="str">
        <f aca="false">IF(IFERROR(HLOOKUP(E$2,$M$2:$BL80,$J80,FALSE()),"")="","",IFERROR(HLOOKUP(E$2,$M$2:$BL80,$J80,FALSE()),""))</f>
        <v/>
      </c>
      <c r="F80" s="1" t="str">
        <f aca="false">IF(IFERROR(HLOOKUP(F$2,$M$2:$BL80,$J80,FALSE()),"")="","",IFERROR(HLOOKUP(F$2,$M$2:$BL80,$J80,FALSE()),""))</f>
        <v/>
      </c>
      <c r="G80" s="1" t="str">
        <f aca="false">IF(IFERROR(HLOOKUP(G$2,$M$2:$BL80,$J80,FALSE()),"")="","",IFERROR(HLOOKUP(G$2,$M$2:$BL80,$J80,FALSE()),""))</f>
        <v/>
      </c>
      <c r="J80" s="5" t="n">
        <f aca="false">+J79+1</f>
        <v>79</v>
      </c>
      <c r="L80" s="1" t="s">
        <v>72</v>
      </c>
      <c r="N80" s="1" t="s">
        <v>537</v>
      </c>
      <c r="P80" s="1" t="s">
        <v>538</v>
      </c>
      <c r="R80" s="1" t="s">
        <v>539</v>
      </c>
      <c r="S80" s="1" t="s">
        <v>132</v>
      </c>
      <c r="T80" s="1" t="s">
        <v>540</v>
      </c>
      <c r="W80" s="1" t="s">
        <v>291</v>
      </c>
      <c r="X80" s="1" t="s">
        <v>541</v>
      </c>
      <c r="Y80" s="1" t="s">
        <v>542</v>
      </c>
    </row>
    <row r="81" customFormat="false" ht="15" hidden="false" customHeight="true" outlineLevel="0" collapsed="false">
      <c r="A81" s="1" t="str">
        <f aca="false">+L81</f>
        <v>BB</v>
      </c>
      <c r="B81" s="1" t="str">
        <f aca="false">IF(IFERROR(HLOOKUP(B$2,$M$2:$BL81,$J81,FALSE()),"")="","",IFERROR(HLOOKUP(B$2,$M$2:$BL81,$J81,FALSE()),""))</f>
        <v>Concentration on few distribution channels</v>
      </c>
      <c r="C81" s="1" t="str">
        <f aca="false">IF(IFERROR(HLOOKUP(C$2,$M$2:$BL81,$J81,FALSE()),"")="","",IFERROR(HLOOKUP(C$2,$M$2:$BL81,$J81,FALSE()),""))</f>
        <v/>
      </c>
      <c r="D81" s="1" t="str">
        <f aca="false">IF(IFERROR(HLOOKUP(D$2,$M$2:$BL81,$J81,FALSE()),"")="","",IFERROR(HLOOKUP(D$2,$M$2:$BL81,$J81,FALSE()),""))</f>
        <v/>
      </c>
      <c r="E81" s="1" t="str">
        <f aca="false">IF(IFERROR(HLOOKUP(E$2,$M$2:$BL81,$J81,FALSE()),"")="","",IFERROR(HLOOKUP(E$2,$M$2:$BL81,$J81,FALSE()),""))</f>
        <v/>
      </c>
      <c r="F81" s="1" t="str">
        <f aca="false">IF(IFERROR(HLOOKUP(F$2,$M$2:$BL81,$J81,FALSE()),"")="","",IFERROR(HLOOKUP(F$2,$M$2:$BL81,$J81,FALSE()),""))</f>
        <v/>
      </c>
      <c r="G81" s="1" t="str">
        <f aca="false">IF(IFERROR(HLOOKUP(G$2,$M$2:$BL81,$J81,FALSE()),"")="","",IFERROR(HLOOKUP(G$2,$M$2:$BL81,$J81,FALSE()),""))</f>
        <v/>
      </c>
      <c r="J81" s="5" t="n">
        <f aca="false">+J80+1</f>
        <v>80</v>
      </c>
      <c r="L81" s="1" t="s">
        <v>94</v>
      </c>
      <c r="N81" s="1" t="s">
        <v>543</v>
      </c>
      <c r="P81" s="1" t="s">
        <v>544</v>
      </c>
      <c r="R81" s="1" t="s">
        <v>545</v>
      </c>
      <c r="S81" s="1" t="s">
        <v>146</v>
      </c>
      <c r="T81" s="1" t="s">
        <v>546</v>
      </c>
      <c r="W81" s="1" t="s">
        <v>146</v>
      </c>
      <c r="X81" s="1" t="s">
        <v>199</v>
      </c>
      <c r="Y81" s="1" t="s">
        <v>547</v>
      </c>
    </row>
    <row r="82" customFormat="false" ht="15" hidden="false" customHeight="true" outlineLevel="0" collapsed="false">
      <c r="A82" s="1" t="str">
        <f aca="false">+L82</f>
        <v>B</v>
      </c>
      <c r="B82" s="1" t="str">
        <f aca="false">IF(IFERROR(HLOOKUP(B$2,$M$2:$BL82,$J82,FALSE()),"")="","",IFERROR(HLOOKUP(B$2,$M$2:$BL82,$J82,FALSE()),""))</f>
        <v>Heavy dependency on a single distribution channel</v>
      </c>
      <c r="C82" s="1" t="str">
        <f aca="false">IF(IFERROR(HLOOKUP(C$2,$M$2:$BL82,$J82,FALSE()),"")="","",IFERROR(HLOOKUP(C$2,$M$2:$BL82,$J82,FALSE()),""))</f>
        <v/>
      </c>
      <c r="D82" s="1" t="str">
        <f aca="false">IF(IFERROR(HLOOKUP(D$2,$M$2:$BL82,$J82,FALSE()),"")="","",IFERROR(HLOOKUP(D$2,$M$2:$BL82,$J82,FALSE()),""))</f>
        <v/>
      </c>
      <c r="E82" s="1" t="str">
        <f aca="false">IF(IFERROR(HLOOKUP(E$2,$M$2:$BL82,$J82,FALSE()),"")="","",IFERROR(HLOOKUP(E$2,$M$2:$BL82,$J82,FALSE()),""))</f>
        <v/>
      </c>
      <c r="F82" s="1" t="str">
        <f aca="false">IF(IFERROR(HLOOKUP(F$2,$M$2:$BL82,$J82,FALSE()),"")="","",IFERROR(HLOOKUP(F$2,$M$2:$BL82,$J82,FALSE()),""))</f>
        <v/>
      </c>
      <c r="G82" s="1" t="str">
        <f aca="false">IF(IFERROR(HLOOKUP(G$2,$M$2:$BL82,$J82,FALSE()),"")="","",IFERROR(HLOOKUP(G$2,$M$2:$BL82,$J82,FALSE()),""))</f>
        <v/>
      </c>
      <c r="J82" s="5" t="n">
        <f aca="false">+J81+1</f>
        <v>81</v>
      </c>
      <c r="L82" s="1" t="s">
        <v>136</v>
      </c>
      <c r="N82" s="1" t="s">
        <v>548</v>
      </c>
      <c r="P82" s="1" t="s">
        <v>549</v>
      </c>
      <c r="R82" s="1" t="s">
        <v>550</v>
      </c>
      <c r="S82" s="1" t="s">
        <v>158</v>
      </c>
      <c r="T82" s="1" t="s">
        <v>551</v>
      </c>
      <c r="W82" s="1" t="s">
        <v>450</v>
      </c>
      <c r="X82" s="1" t="s">
        <v>170</v>
      </c>
      <c r="Y82" s="1" t="s">
        <v>552</v>
      </c>
    </row>
    <row r="83" customFormat="false" ht="15" hidden="false" customHeight="true" outlineLevel="0" collapsed="false">
      <c r="A83" s="1" t="str">
        <f aca="false">+L83</f>
        <v>CCC and below</v>
      </c>
      <c r="B83" s="1" t="str">
        <f aca="false">IF(IFERROR(HLOOKUP(B$2,$M$2:$BL83,$J83,FALSE()),"")="","",IFERROR(HLOOKUP(B$2,$M$2:$BL83,$J83,FALSE()),""))</f>
        <v>Heavy dependency on a single distribution channel</v>
      </c>
      <c r="C83" s="1" t="str">
        <f aca="false">IF(IFERROR(HLOOKUP(C$2,$M$2:$BL83,$J83,FALSE()),"")="","",IFERROR(HLOOKUP(C$2,$M$2:$BL83,$J83,FALSE()),""))</f>
        <v/>
      </c>
      <c r="D83" s="1" t="str">
        <f aca="false">IF(IFERROR(HLOOKUP(D$2,$M$2:$BL83,$J83,FALSE()),"")="","",IFERROR(HLOOKUP(D$2,$M$2:$BL83,$J83,FALSE()),""))</f>
        <v/>
      </c>
      <c r="E83" s="1" t="str">
        <f aca="false">IF(IFERROR(HLOOKUP(E$2,$M$2:$BL83,$J83,FALSE()),"")="","",IFERROR(HLOOKUP(E$2,$M$2:$BL83,$J83,FALSE()),""))</f>
        <v/>
      </c>
      <c r="F83" s="1" t="str">
        <f aca="false">IF(IFERROR(HLOOKUP(F$2,$M$2:$BL83,$J83,FALSE()),"")="","",IFERROR(HLOOKUP(F$2,$M$2:$BL83,$J83,FALSE()),""))</f>
        <v/>
      </c>
      <c r="G83" s="1" t="str">
        <f aca="false">IF(IFERROR(HLOOKUP(G$2,$M$2:$BL83,$J83,FALSE()),"")="","",IFERROR(HLOOKUP(G$2,$M$2:$BL83,$J83,FALSE()),""))</f>
        <v/>
      </c>
      <c r="J83" s="5" t="n">
        <f aca="false">+J82+1</f>
        <v>82</v>
      </c>
      <c r="L83" s="1" t="s">
        <v>163</v>
      </c>
      <c r="N83" s="1" t="s">
        <v>548</v>
      </c>
      <c r="P83" s="1" t="s">
        <v>549</v>
      </c>
      <c r="R83" s="1" t="s">
        <v>550</v>
      </c>
      <c r="S83" s="1" t="s">
        <v>171</v>
      </c>
      <c r="T83" s="1" t="s">
        <v>103</v>
      </c>
      <c r="W83" s="1" t="s">
        <v>553</v>
      </c>
      <c r="X83" s="1" t="s">
        <v>103</v>
      </c>
      <c r="Y83" s="1" t="s">
        <v>103</v>
      </c>
    </row>
    <row r="84" s="14" customFormat="true" ht="15" hidden="false" customHeight="true" outlineLevel="0" collapsed="false">
      <c r="A84" s="13" t="str">
        <f aca="false">+K84</f>
        <v>Factor 5</v>
      </c>
      <c r="B84" s="13" t="str">
        <f aca="false">IF(IFERROR(HLOOKUP(B$2,$M$2:$BL84,$J84,FALSE()),"")="","",IFERROR(HLOOKUP(B$2,$M$2:$BL84,$J84,FALSE()),""))</f>
        <v/>
      </c>
      <c r="C84" s="13" t="str">
        <f aca="false">IF(IFERROR(HLOOKUP(C$2,$M$2:$BL84,$J84,FALSE()),"")="","",IFERROR(HLOOKUP(C$2,$M$2:$BL84,$J84,FALSE()),""))</f>
        <v/>
      </c>
      <c r="D84" s="13" t="str">
        <f aca="false">IF(IFERROR(HLOOKUP(D$2,$M$2:$BL84,$J84,FALSE()),"")="","",IFERROR(HLOOKUP(D$2,$M$2:$BL84,$J84,FALSE()),""))</f>
        <v/>
      </c>
      <c r="E84" s="13" t="str">
        <f aca="false">IF(IFERROR(HLOOKUP(E$2,$M$2:$BL84,$J84,FALSE()),"")="","",IFERROR(HLOOKUP(E$2,$M$2:$BL84,$J84,FALSE()),""))</f>
        <v/>
      </c>
      <c r="F84" s="13" t="str">
        <f aca="false">IF(IFERROR(HLOOKUP(F$2,$M$2:$BL84,$J84,FALSE()),"")="","",IFERROR(HLOOKUP(F$2,$M$2:$BL84,$J84,FALSE()),""))</f>
        <v/>
      </c>
      <c r="G84" s="13" t="str">
        <f aca="false">IF(IFERROR(HLOOKUP(G$2,$M$2:$BL84,$J84,FALSE()),"")="","",IFERROR(HLOOKUP(G$2,$M$2:$BL84,$J84,FALSE()),""))</f>
        <v/>
      </c>
      <c r="H84" s="13"/>
      <c r="J84" s="15" t="n">
        <f aca="false">+J83+1</f>
        <v>83</v>
      </c>
      <c r="K84" s="14" t="s">
        <v>298</v>
      </c>
      <c r="S84" s="14" t="s">
        <v>554</v>
      </c>
      <c r="T84" s="14" t="s">
        <v>555</v>
      </c>
      <c r="W84" s="14" t="s">
        <v>525</v>
      </c>
    </row>
    <row r="85" customFormat="false" ht="15" hidden="false" customHeight="true" outlineLevel="0" collapsed="false">
      <c r="A85" s="1" t="str">
        <f aca="false">+L85</f>
        <v>AA and above</v>
      </c>
      <c r="B85" s="1" t="str">
        <f aca="false">IF(IFERROR(HLOOKUP(B$2,$M$2:$BL85,$J85,FALSE()),"")="","",IFERROR(HLOOKUP(B$2,$M$2:$BL85,$J85,FALSE()),""))</f>
        <v/>
      </c>
      <c r="C85" s="1" t="str">
        <f aca="false">IF(IFERROR(HLOOKUP(C$2,$M$2:$BL85,$J85,FALSE()),"")="","",IFERROR(HLOOKUP(C$2,$M$2:$BL85,$J85,FALSE()),""))</f>
        <v/>
      </c>
      <c r="D85" s="1" t="str">
        <f aca="false">IF(IFERROR(HLOOKUP(D$2,$M$2:$BL85,$J85,FALSE()),"")="","",IFERROR(HLOOKUP(D$2,$M$2:$BL85,$J85,FALSE()),""))</f>
        <v/>
      </c>
      <c r="E85" s="1" t="str">
        <f aca="false">IF(IFERROR(HLOOKUP(E$2,$M$2:$BL85,$J85,FALSE()),"")="","",IFERROR(HLOOKUP(E$2,$M$2:$BL85,$J85,FALSE()),""))</f>
        <v/>
      </c>
      <c r="F85" s="1" t="str">
        <f aca="false">IF(IFERROR(HLOOKUP(F$2,$M$2:$BL85,$J85,FALSE()),"")="","",IFERROR(HLOOKUP(F$2,$M$2:$BL85,$J85,FALSE()),""))</f>
        <v/>
      </c>
      <c r="G85" s="1" t="str">
        <f aca="false">IF(IFERROR(HLOOKUP(G$2,$M$2:$BL85,$J85,FALSE()),"")="","",IFERROR(HLOOKUP(G$2,$M$2:$BL85,$J85,FALSE()),""))</f>
        <v/>
      </c>
      <c r="J85" s="5" t="n">
        <f aca="false">+J84+1</f>
        <v>84</v>
      </c>
      <c r="L85" s="1" t="s">
        <v>30</v>
      </c>
      <c r="S85" s="1" t="s">
        <v>556</v>
      </c>
      <c r="T85" s="1" t="s">
        <v>557</v>
      </c>
      <c r="W85" s="1" t="s">
        <v>531</v>
      </c>
    </row>
    <row r="86" customFormat="false" ht="15" hidden="false" customHeight="true" outlineLevel="0" collapsed="false">
      <c r="A86" s="1" t="str">
        <f aca="false">+L86</f>
        <v>A</v>
      </c>
      <c r="B86" s="1" t="str">
        <f aca="false">IF(IFERROR(HLOOKUP(B$2,$M$2:$BL86,$J86,FALSE()),"")="","",IFERROR(HLOOKUP(B$2,$M$2:$BL86,$J86,FALSE()),""))</f>
        <v/>
      </c>
      <c r="C86" s="1" t="str">
        <f aca="false">IF(IFERROR(HLOOKUP(C$2,$M$2:$BL86,$J86,FALSE()),"")="","",IFERROR(HLOOKUP(C$2,$M$2:$BL86,$J86,FALSE()),""))</f>
        <v/>
      </c>
      <c r="D86" s="1" t="str">
        <f aca="false">IF(IFERROR(HLOOKUP(D$2,$M$2:$BL86,$J86,FALSE()),"")="","",IFERROR(HLOOKUP(D$2,$M$2:$BL86,$J86,FALSE()),""))</f>
        <v/>
      </c>
      <c r="E86" s="1" t="str">
        <f aca="false">IF(IFERROR(HLOOKUP(E$2,$M$2:$BL86,$J86,FALSE()),"")="","",IFERROR(HLOOKUP(E$2,$M$2:$BL86,$J86,FALSE()),""))</f>
        <v/>
      </c>
      <c r="F86" s="1" t="str">
        <f aca="false">IF(IFERROR(HLOOKUP(F$2,$M$2:$BL86,$J86,FALSE()),"")="","",IFERROR(HLOOKUP(F$2,$M$2:$BL86,$J86,FALSE()),""))</f>
        <v/>
      </c>
      <c r="G86" s="1" t="str">
        <f aca="false">IF(IFERROR(HLOOKUP(G$2,$M$2:$BL86,$J86,FALSE()),"")="","",IFERROR(HLOOKUP(G$2,$M$2:$BL86,$J86,FALSE()),""))</f>
        <v/>
      </c>
      <c r="J86" s="5" t="n">
        <f aca="false">+J85+1</f>
        <v>85</v>
      </c>
      <c r="L86" s="1" t="s">
        <v>63</v>
      </c>
      <c r="S86" s="1" t="s">
        <v>556</v>
      </c>
      <c r="T86" s="1" t="s">
        <v>558</v>
      </c>
      <c r="W86" s="1" t="s">
        <v>534</v>
      </c>
    </row>
    <row r="87" customFormat="false" ht="15" hidden="false" customHeight="true" outlineLevel="0" collapsed="false">
      <c r="A87" s="1" t="str">
        <f aca="false">+L87</f>
        <v>BBB</v>
      </c>
      <c r="B87" s="1" t="str">
        <f aca="false">IF(IFERROR(HLOOKUP(B$2,$M$2:$BL87,$J87,FALSE()),"")="","",IFERROR(HLOOKUP(B$2,$M$2:$BL87,$J87,FALSE()),""))</f>
        <v/>
      </c>
      <c r="C87" s="1" t="str">
        <f aca="false">IF(IFERROR(HLOOKUP(C$2,$M$2:$BL87,$J87,FALSE()),"")="","",IFERROR(HLOOKUP(C$2,$M$2:$BL87,$J87,FALSE()),""))</f>
        <v/>
      </c>
      <c r="D87" s="1" t="str">
        <f aca="false">IF(IFERROR(HLOOKUP(D$2,$M$2:$BL87,$J87,FALSE()),"")="","",IFERROR(HLOOKUP(D$2,$M$2:$BL87,$J87,FALSE()),""))</f>
        <v/>
      </c>
      <c r="E87" s="1" t="str">
        <f aca="false">IF(IFERROR(HLOOKUP(E$2,$M$2:$BL87,$J87,FALSE()),"")="","",IFERROR(HLOOKUP(E$2,$M$2:$BL87,$J87,FALSE()),""))</f>
        <v/>
      </c>
      <c r="F87" s="1" t="str">
        <f aca="false">IF(IFERROR(HLOOKUP(F$2,$M$2:$BL87,$J87,FALSE()),"")="","",IFERROR(HLOOKUP(F$2,$M$2:$BL87,$J87,FALSE()),""))</f>
        <v/>
      </c>
      <c r="G87" s="1" t="str">
        <f aca="false">IF(IFERROR(HLOOKUP(G$2,$M$2:$BL87,$J87,FALSE()),"")="","",IFERROR(HLOOKUP(G$2,$M$2:$BL87,$J87,FALSE()),""))</f>
        <v/>
      </c>
      <c r="J87" s="5" t="n">
        <f aca="false">+J86+1</f>
        <v>86</v>
      </c>
      <c r="L87" s="1" t="s">
        <v>72</v>
      </c>
      <c r="S87" s="1" t="s">
        <v>559</v>
      </c>
      <c r="T87" s="1" t="s">
        <v>560</v>
      </c>
      <c r="W87" s="1" t="s">
        <v>540</v>
      </c>
    </row>
    <row r="88" customFormat="false" ht="15" hidden="false" customHeight="true" outlineLevel="0" collapsed="false">
      <c r="A88" s="1" t="str">
        <f aca="false">+L88</f>
        <v>BB</v>
      </c>
      <c r="B88" s="1" t="str">
        <f aca="false">IF(IFERROR(HLOOKUP(B$2,$M$2:$BL88,$J88,FALSE()),"")="","",IFERROR(HLOOKUP(B$2,$M$2:$BL88,$J88,FALSE()),""))</f>
        <v/>
      </c>
      <c r="C88" s="1" t="str">
        <f aca="false">IF(IFERROR(HLOOKUP(C$2,$M$2:$BL88,$J88,FALSE()),"")="","",IFERROR(HLOOKUP(C$2,$M$2:$BL88,$J88,FALSE()),""))</f>
        <v/>
      </c>
      <c r="D88" s="1" t="str">
        <f aca="false">IF(IFERROR(HLOOKUP(D$2,$M$2:$BL88,$J88,FALSE()),"")="","",IFERROR(HLOOKUP(D$2,$M$2:$BL88,$J88,FALSE()),""))</f>
        <v/>
      </c>
      <c r="E88" s="1" t="str">
        <f aca="false">IF(IFERROR(HLOOKUP(E$2,$M$2:$BL88,$J88,FALSE()),"")="","",IFERROR(HLOOKUP(E$2,$M$2:$BL88,$J88,FALSE()),""))</f>
        <v/>
      </c>
      <c r="F88" s="1" t="str">
        <f aca="false">IF(IFERROR(HLOOKUP(F$2,$M$2:$BL88,$J88,FALSE()),"")="","",IFERROR(HLOOKUP(F$2,$M$2:$BL88,$J88,FALSE()),""))</f>
        <v/>
      </c>
      <c r="G88" s="1" t="str">
        <f aca="false">IF(IFERROR(HLOOKUP(G$2,$M$2:$BL88,$J88,FALSE()),"")="","",IFERROR(HLOOKUP(G$2,$M$2:$BL88,$J88,FALSE()),""))</f>
        <v/>
      </c>
      <c r="J88" s="5" t="n">
        <f aca="false">+J87+1</f>
        <v>87</v>
      </c>
      <c r="L88" s="1" t="s">
        <v>94</v>
      </c>
      <c r="S88" s="1" t="s">
        <v>561</v>
      </c>
      <c r="T88" s="1" t="s">
        <v>562</v>
      </c>
      <c r="W88" s="1" t="s">
        <v>546</v>
      </c>
    </row>
    <row r="89" customFormat="false" ht="15" hidden="false" customHeight="true" outlineLevel="0" collapsed="false">
      <c r="A89" s="1" t="str">
        <f aca="false">+L89</f>
        <v>B</v>
      </c>
      <c r="B89" s="1" t="str">
        <f aca="false">IF(IFERROR(HLOOKUP(B$2,$M$2:$BL89,$J89,FALSE()),"")="","",IFERROR(HLOOKUP(B$2,$M$2:$BL89,$J89,FALSE()),""))</f>
        <v/>
      </c>
      <c r="C89" s="1" t="str">
        <f aca="false">IF(IFERROR(HLOOKUP(C$2,$M$2:$BL89,$J89,FALSE()),"")="","",IFERROR(HLOOKUP(C$2,$M$2:$BL89,$J89,FALSE()),""))</f>
        <v/>
      </c>
      <c r="D89" s="1" t="str">
        <f aca="false">IF(IFERROR(HLOOKUP(D$2,$M$2:$BL89,$J89,FALSE()),"")="","",IFERROR(HLOOKUP(D$2,$M$2:$BL89,$J89,FALSE()),""))</f>
        <v/>
      </c>
      <c r="E89" s="1" t="str">
        <f aca="false">IF(IFERROR(HLOOKUP(E$2,$M$2:$BL89,$J89,FALSE()),"")="","",IFERROR(HLOOKUP(E$2,$M$2:$BL89,$J89,FALSE()),""))</f>
        <v/>
      </c>
      <c r="F89" s="1" t="str">
        <f aca="false">IF(IFERROR(HLOOKUP(F$2,$M$2:$BL89,$J89,FALSE()),"")="","",IFERROR(HLOOKUP(F$2,$M$2:$BL89,$J89,FALSE()),""))</f>
        <v/>
      </c>
      <c r="G89" s="1" t="str">
        <f aca="false">IF(IFERROR(HLOOKUP(G$2,$M$2:$BL89,$J89,FALSE()),"")="","",IFERROR(HLOOKUP(G$2,$M$2:$BL89,$J89,FALSE()),""))</f>
        <v/>
      </c>
      <c r="J89" s="5" t="n">
        <f aca="false">+J88+1</f>
        <v>88</v>
      </c>
      <c r="L89" s="1" t="s">
        <v>136</v>
      </c>
      <c r="S89" s="1" t="s">
        <v>233</v>
      </c>
      <c r="T89" s="1" t="s">
        <v>563</v>
      </c>
      <c r="W89" s="1" t="s">
        <v>551</v>
      </c>
    </row>
    <row r="90" customFormat="false" ht="15" hidden="false" customHeight="true" outlineLevel="0" collapsed="false">
      <c r="A90" s="1" t="str">
        <f aca="false">+L90</f>
        <v>CCC and below</v>
      </c>
      <c r="B90" s="1" t="str">
        <f aca="false">IF(IFERROR(HLOOKUP(B$2,$M$2:$BL90,$J90,FALSE()),"")="","",IFERROR(HLOOKUP(B$2,$M$2:$BL90,$J90,FALSE()),""))</f>
        <v/>
      </c>
      <c r="C90" s="1" t="str">
        <f aca="false">IF(IFERROR(HLOOKUP(C$2,$M$2:$BL90,$J90,FALSE()),"")="","",IFERROR(HLOOKUP(C$2,$M$2:$BL90,$J90,FALSE()),""))</f>
        <v/>
      </c>
      <c r="D90" s="1" t="str">
        <f aca="false">IF(IFERROR(HLOOKUP(D$2,$M$2:$BL90,$J90,FALSE()),"")="","",IFERROR(HLOOKUP(D$2,$M$2:$BL90,$J90,FALSE()),""))</f>
        <v/>
      </c>
      <c r="E90" s="1" t="str">
        <f aca="false">IF(IFERROR(HLOOKUP(E$2,$M$2:$BL90,$J90,FALSE()),"")="","",IFERROR(HLOOKUP(E$2,$M$2:$BL90,$J90,FALSE()),""))</f>
        <v/>
      </c>
      <c r="F90" s="1" t="str">
        <f aca="false">IF(IFERROR(HLOOKUP(F$2,$M$2:$BL90,$J90,FALSE()),"")="","",IFERROR(HLOOKUP(F$2,$M$2:$BL90,$J90,FALSE()),""))</f>
        <v/>
      </c>
      <c r="G90" s="1" t="str">
        <f aca="false">IF(IFERROR(HLOOKUP(G$2,$M$2:$BL90,$J90,FALSE()),"")="","",IFERROR(HLOOKUP(G$2,$M$2:$BL90,$J90,FALSE()),""))</f>
        <v/>
      </c>
      <c r="J90" s="5" t="n">
        <f aca="false">+J89+1</f>
        <v>89</v>
      </c>
      <c r="L90" s="1" t="s">
        <v>163</v>
      </c>
      <c r="S90" s="1" t="s">
        <v>564</v>
      </c>
      <c r="T90" s="1" t="s">
        <v>103</v>
      </c>
      <c r="W90" s="1" t="s">
        <v>551</v>
      </c>
    </row>
    <row r="91" customFormat="false" ht="11.25" hidden="false" customHeight="false" outlineLevel="0" collapsed="false">
      <c r="J91" s="5" t="n">
        <f aca="false">+J90+1</f>
        <v>90</v>
      </c>
    </row>
    <row r="92" customFormat="false" ht="11.25" hidden="false" customHeight="false" outlineLevel="0" collapsed="false">
      <c r="B92" s="14" t="s">
        <v>565</v>
      </c>
      <c r="C92" s="14" t="s">
        <v>566</v>
      </c>
      <c r="D92" s="14" t="s">
        <v>567</v>
      </c>
      <c r="E92" s="14" t="s">
        <v>568</v>
      </c>
      <c r="F92" s="14" t="s">
        <v>569</v>
      </c>
      <c r="G92" s="14" t="s">
        <v>570</v>
      </c>
      <c r="H92" s="14"/>
      <c r="J92" s="5" t="n">
        <f aca="false">+J91+1</f>
        <v>91</v>
      </c>
    </row>
    <row r="93" customFormat="false" ht="11.25" hidden="false" customHeight="false" outlineLevel="0" collapsed="false">
      <c r="B93" s="14" t="s">
        <v>571</v>
      </c>
      <c r="C93" s="14" t="s">
        <v>572</v>
      </c>
      <c r="D93" s="14" t="s">
        <v>573</v>
      </c>
      <c r="E93" s="14" t="s">
        <v>574</v>
      </c>
      <c r="F93" s="14" t="s">
        <v>575</v>
      </c>
      <c r="G93" s="14" t="s">
        <v>576</v>
      </c>
      <c r="H93" s="14"/>
      <c r="J93" s="5" t="n">
        <f aca="false">+J92+1</f>
        <v>92</v>
      </c>
    </row>
    <row r="94" customFormat="false" ht="11.25" hidden="false" customHeight="false" outlineLevel="0" collapsed="false">
      <c r="B94" s="14" t="s">
        <v>577</v>
      </c>
      <c r="C94" s="14" t="s">
        <v>578</v>
      </c>
      <c r="D94" s="14" t="s">
        <v>579</v>
      </c>
      <c r="E94" s="14" t="s">
        <v>580</v>
      </c>
      <c r="F94" s="14" t="s">
        <v>581</v>
      </c>
      <c r="G94" s="14" t="s">
        <v>582</v>
      </c>
      <c r="H94" s="14"/>
      <c r="J94" s="5" t="n">
        <f aca="false">+J93+1</f>
        <v>93</v>
      </c>
    </row>
    <row r="95" customFormat="false" ht="11.25" hidden="false" customHeight="false" outlineLevel="0" collapsed="false">
      <c r="B95" s="14" t="s">
        <v>583</v>
      </c>
      <c r="C95" s="14" t="s">
        <v>584</v>
      </c>
      <c r="D95" s="14" t="s">
        <v>585</v>
      </c>
      <c r="E95" s="14" t="s">
        <v>586</v>
      </c>
      <c r="F95" s="14" t="s">
        <v>587</v>
      </c>
      <c r="G95" s="14" t="s">
        <v>588</v>
      </c>
      <c r="H95" s="14"/>
      <c r="J95" s="5" t="n">
        <f aca="false">+J94+1</f>
        <v>94</v>
      </c>
    </row>
    <row r="96" customFormat="false" ht="11.25" hidden="false" customHeight="false" outlineLevel="0" collapsed="false">
      <c r="B96" s="14" t="s">
        <v>589</v>
      </c>
      <c r="C96" s="14" t="s">
        <v>590</v>
      </c>
      <c r="D96" s="14" t="s">
        <v>591</v>
      </c>
      <c r="E96" s="14" t="s">
        <v>592</v>
      </c>
      <c r="F96" s="14" t="s">
        <v>593</v>
      </c>
      <c r="G96" s="14" t="s">
        <v>594</v>
      </c>
      <c r="H96" s="14"/>
      <c r="J96" s="5" t="n">
        <f aca="false">+J95+1</f>
        <v>95</v>
      </c>
    </row>
    <row r="97" customFormat="false" ht="11.25" hidden="false" customHeight="false" outlineLevel="0" collapsed="false">
      <c r="J97" s="5" t="n">
        <f aca="false">+J96+1</f>
        <v>96</v>
      </c>
    </row>
    <row r="98" customFormat="false" ht="15" hidden="false" customHeight="true" outlineLevel="0" collapsed="false">
      <c r="J98" s="5" t="n">
        <f aca="false">+J97+1</f>
        <v>97</v>
      </c>
    </row>
    <row r="99" customFormat="false" ht="15" hidden="false" customHeight="true" outlineLevel="0" collapsed="false">
      <c r="A99" s="3" t="s">
        <v>595</v>
      </c>
      <c r="J99" s="5" t="n">
        <f aca="false">+J98+1</f>
        <v>98</v>
      </c>
      <c r="K99" s="6" t="str">
        <f aca="false">+A99</f>
        <v>[Operating profitability]</v>
      </c>
    </row>
    <row r="100" s="14" customFormat="true" ht="15" hidden="false" customHeight="true" outlineLevel="0" collapsed="false">
      <c r="A100" s="13" t="str">
        <f aca="false">+K100</f>
        <v>Factor 1</v>
      </c>
      <c r="B100" s="13" t="str">
        <f aca="false">IF(IFERROR(HLOOKUP(B$2,$M$2:$BL100,$J100,FALSE()),"")="","",IFERROR(HLOOKUP(B$2,$M$2:$BL100,$J100,FALSE()),""))</f>
        <v>EBITDA margin</v>
      </c>
      <c r="C100" s="13" t="str">
        <f aca="false">IF(IFERROR(HLOOKUP(C$2,$M$2:$BL100,$J100,FALSE()),"")="","",IFERROR(HLOOKUP(C$2,$M$2:$BL100,$J100,FALSE()),""))</f>
        <v/>
      </c>
      <c r="D100" s="13" t="str">
        <f aca="false">IF(IFERROR(HLOOKUP(D$2,$M$2:$BL100,$J100,FALSE()),"")="","",IFERROR(HLOOKUP(D$2,$M$2:$BL100,$J100,FALSE()),""))</f>
        <v/>
      </c>
      <c r="E100" s="13" t="str">
        <f aca="false">IF(IFERROR(HLOOKUP(E$2,$M$2:$BL100,$J100,FALSE()),"")="","",IFERROR(HLOOKUP(E$2,$M$2:$BL100,$J100,FALSE()),""))</f>
        <v/>
      </c>
      <c r="F100" s="13" t="str">
        <f aca="false">IF(IFERROR(HLOOKUP(F$2,$M$2:$BL100,$J100,FALSE()),"")="","",IFERROR(HLOOKUP(F$2,$M$2:$BL100,$J100,FALSE()),""))</f>
        <v/>
      </c>
      <c r="G100" s="13" t="str">
        <f aca="false">IF(IFERROR(HLOOKUP(G$2,$M$2:$BL100,$J100,FALSE()),"")="","",IFERROR(HLOOKUP(G$2,$M$2:$BL100,$J100,FALSE()),""))</f>
        <v/>
      </c>
      <c r="H100" s="13"/>
      <c r="J100" s="15" t="n">
        <f aca="false">+J99+1</f>
        <v>99</v>
      </c>
      <c r="K100" s="14" t="s">
        <v>79</v>
      </c>
      <c r="M100" s="14" t="s">
        <v>596</v>
      </c>
      <c r="N100" s="14" t="s">
        <v>597</v>
      </c>
      <c r="O100" s="14" t="s">
        <v>596</v>
      </c>
      <c r="P100" s="14" t="s">
        <v>598</v>
      </c>
      <c r="Q100" s="14" t="s">
        <v>596</v>
      </c>
      <c r="R100" s="14" t="s">
        <v>596</v>
      </c>
      <c r="S100" s="14" t="s">
        <v>599</v>
      </c>
      <c r="T100" s="14" t="s">
        <v>600</v>
      </c>
      <c r="V100" s="14" t="s">
        <v>598</v>
      </c>
      <c r="W100" s="14" t="s">
        <v>601</v>
      </c>
      <c r="X100" s="14" t="s">
        <v>602</v>
      </c>
      <c r="Y100" s="14" t="s">
        <v>602</v>
      </c>
      <c r="Z100" s="14" t="s">
        <v>596</v>
      </c>
    </row>
    <row r="101" customFormat="false" ht="15" hidden="false" customHeight="true" outlineLevel="0" collapsed="false">
      <c r="A101" s="1" t="str">
        <f aca="false">+L101</f>
        <v>AA and above</v>
      </c>
      <c r="B101" s="1" t="str">
        <f aca="false">IF(IFERROR(HLOOKUP(B$2,$M$2:$BL101,$J101,FALSE()),"")="","",IFERROR(HLOOKUP(B$2,$M$2:$BL101,$J101,FALSE()),""))</f>
        <v>&gt;30%</v>
      </c>
      <c r="C101" s="1" t="str">
        <f aca="false">IF(IFERROR(HLOOKUP(C$2,$M$2:$BL101,$J101,FALSE()),"")="","",IFERROR(HLOOKUP(C$2,$M$2:$BL101,$J101,FALSE()),""))</f>
        <v/>
      </c>
      <c r="D101" s="1" t="str">
        <f aca="false">IF(IFERROR(HLOOKUP(D$2,$M$2:$BL101,$J101,FALSE()),"")="","",IFERROR(HLOOKUP(D$2,$M$2:$BL101,$J101,FALSE()),""))</f>
        <v/>
      </c>
      <c r="E101" s="1" t="str">
        <f aca="false">IF(IFERROR(HLOOKUP(E$2,$M$2:$BL101,$J101,FALSE()),"")="","",IFERROR(HLOOKUP(E$2,$M$2:$BL101,$J101,FALSE()),""))</f>
        <v/>
      </c>
      <c r="F101" s="1" t="str">
        <f aca="false">IF(IFERROR(HLOOKUP(F$2,$M$2:$BL101,$J101,FALSE()),"")="","",IFERROR(HLOOKUP(F$2,$M$2:$BL101,$J101,FALSE()),""))</f>
        <v/>
      </c>
      <c r="G101" s="1" t="str">
        <f aca="false">IF(IFERROR(HLOOKUP(G$2,$M$2:$BL101,$J101,FALSE()),"")="","",IFERROR(HLOOKUP(G$2,$M$2:$BL101,$J101,FALSE()),""))</f>
        <v/>
      </c>
      <c r="J101" s="5" t="n">
        <f aca="false">+J100+1</f>
        <v>100</v>
      </c>
      <c r="L101" s="1" t="s">
        <v>30</v>
      </c>
      <c r="M101" s="1" t="s">
        <v>603</v>
      </c>
      <c r="N101" s="1" t="s">
        <v>604</v>
      </c>
      <c r="O101" s="1" t="s">
        <v>605</v>
      </c>
      <c r="P101" s="1" t="s">
        <v>606</v>
      </c>
      <c r="Q101" s="1" t="s">
        <v>607</v>
      </c>
      <c r="R101" s="1" t="s">
        <v>284</v>
      </c>
      <c r="S101" s="1" t="s">
        <v>418</v>
      </c>
      <c r="T101" s="1" t="s">
        <v>452</v>
      </c>
      <c r="V101" s="1" t="s">
        <v>103</v>
      </c>
      <c r="W101" s="1" t="s">
        <v>452</v>
      </c>
      <c r="X101" s="1" t="s">
        <v>608</v>
      </c>
      <c r="Y101" s="1" t="s">
        <v>609</v>
      </c>
      <c r="Z101" s="1" t="s">
        <v>251</v>
      </c>
    </row>
    <row r="102" customFormat="false" ht="15" hidden="false" customHeight="true" outlineLevel="0" collapsed="false">
      <c r="A102" s="1" t="str">
        <f aca="false">+L102</f>
        <v>A</v>
      </c>
      <c r="B102" s="1" t="str">
        <f aca="false">IF(IFERROR(HLOOKUP(B$2,$M$2:$BL102,$J102,FALSE()),"")="","",IFERROR(HLOOKUP(B$2,$M$2:$BL102,$J102,FALSE()),""))</f>
        <v>20%-30%</v>
      </c>
      <c r="C102" s="1" t="str">
        <f aca="false">IF(IFERROR(HLOOKUP(C$2,$M$2:$BL102,$J102,FALSE()),"")="","",IFERROR(HLOOKUP(C$2,$M$2:$BL102,$J102,FALSE()),""))</f>
        <v/>
      </c>
      <c r="D102" s="1" t="str">
        <f aca="false">IF(IFERROR(HLOOKUP(D$2,$M$2:$BL102,$J102,FALSE()),"")="","",IFERROR(HLOOKUP(D$2,$M$2:$BL102,$J102,FALSE()),""))</f>
        <v/>
      </c>
      <c r="E102" s="1" t="str">
        <f aca="false">IF(IFERROR(HLOOKUP(E$2,$M$2:$BL102,$J102,FALSE()),"")="","",IFERROR(HLOOKUP(E$2,$M$2:$BL102,$J102,FALSE()),""))</f>
        <v/>
      </c>
      <c r="F102" s="1" t="str">
        <f aca="false">IF(IFERROR(HLOOKUP(F$2,$M$2:$BL102,$J102,FALSE()),"")="","",IFERROR(HLOOKUP(F$2,$M$2:$BL102,$J102,FALSE()),""))</f>
        <v/>
      </c>
      <c r="G102" s="1" t="str">
        <f aca="false">IF(IFERROR(HLOOKUP(G$2,$M$2:$BL102,$J102,FALSE()),"")="","",IFERROR(HLOOKUP(G$2,$M$2:$BL102,$J102,FALSE()),""))</f>
        <v/>
      </c>
      <c r="J102" s="5" t="n">
        <f aca="false">+J101+1</f>
        <v>101</v>
      </c>
      <c r="L102" s="1" t="s">
        <v>63</v>
      </c>
      <c r="M102" s="1" t="s">
        <v>610</v>
      </c>
      <c r="N102" s="1" t="s">
        <v>419</v>
      </c>
      <c r="O102" s="1" t="s">
        <v>611</v>
      </c>
      <c r="P102" s="1" t="s">
        <v>612</v>
      </c>
      <c r="Q102" s="1" t="s">
        <v>613</v>
      </c>
      <c r="R102" s="1" t="s">
        <v>614</v>
      </c>
      <c r="S102" s="1" t="s">
        <v>418</v>
      </c>
      <c r="T102" s="1" t="s">
        <v>615</v>
      </c>
      <c r="V102" s="1" t="s">
        <v>616</v>
      </c>
      <c r="W102" s="1" t="s">
        <v>617</v>
      </c>
      <c r="X102" s="1" t="s">
        <v>618</v>
      </c>
      <c r="Y102" s="1" t="s">
        <v>619</v>
      </c>
      <c r="Z102" s="1" t="s">
        <v>255</v>
      </c>
    </row>
    <row r="103" customFormat="false" ht="15" hidden="false" customHeight="true" outlineLevel="0" collapsed="false">
      <c r="A103" s="1" t="str">
        <f aca="false">+L103</f>
        <v>BBB</v>
      </c>
      <c r="B103" s="1" t="str">
        <f aca="false">IF(IFERROR(HLOOKUP(B$2,$M$2:$BL103,$J103,FALSE()),"")="","",IFERROR(HLOOKUP(B$2,$M$2:$BL103,$J103,FALSE()),""))</f>
        <v>15%-20%</v>
      </c>
      <c r="C103" s="1" t="str">
        <f aca="false">IF(IFERROR(HLOOKUP(C$2,$M$2:$BL103,$J103,FALSE()),"")="","",IFERROR(HLOOKUP(C$2,$M$2:$BL103,$J103,FALSE()),""))</f>
        <v/>
      </c>
      <c r="D103" s="1" t="str">
        <f aca="false">IF(IFERROR(HLOOKUP(D$2,$M$2:$BL103,$J103,FALSE()),"")="","",IFERROR(HLOOKUP(D$2,$M$2:$BL103,$J103,FALSE()),""))</f>
        <v/>
      </c>
      <c r="E103" s="1" t="str">
        <f aca="false">IF(IFERROR(HLOOKUP(E$2,$M$2:$BL103,$J103,FALSE()),"")="","",IFERROR(HLOOKUP(E$2,$M$2:$BL103,$J103,FALSE()),""))</f>
        <v/>
      </c>
      <c r="F103" s="1" t="str">
        <f aca="false">IF(IFERROR(HLOOKUP(F$2,$M$2:$BL103,$J103,FALSE()),"")="","",IFERROR(HLOOKUP(F$2,$M$2:$BL103,$J103,FALSE()),""))</f>
        <v/>
      </c>
      <c r="G103" s="1" t="str">
        <f aca="false">IF(IFERROR(HLOOKUP(G$2,$M$2:$BL103,$J103,FALSE()),"")="","",IFERROR(HLOOKUP(G$2,$M$2:$BL103,$J103,FALSE()),""))</f>
        <v/>
      </c>
      <c r="J103" s="5" t="n">
        <f aca="false">+J102+1</f>
        <v>102</v>
      </c>
      <c r="L103" s="1" t="s">
        <v>72</v>
      </c>
      <c r="M103" s="1" t="s">
        <v>620</v>
      </c>
      <c r="N103" s="1" t="s">
        <v>621</v>
      </c>
      <c r="O103" s="1" t="s">
        <v>622</v>
      </c>
      <c r="P103" s="1" t="s">
        <v>623</v>
      </c>
      <c r="Q103" s="1" t="s">
        <v>610</v>
      </c>
      <c r="R103" s="1" t="s">
        <v>624</v>
      </c>
      <c r="S103" s="1" t="s">
        <v>625</v>
      </c>
      <c r="T103" s="1" t="s">
        <v>626</v>
      </c>
      <c r="V103" s="1" t="s">
        <v>627</v>
      </c>
      <c r="W103" s="1" t="s">
        <v>628</v>
      </c>
      <c r="X103" s="1" t="s">
        <v>621</v>
      </c>
      <c r="Y103" s="1" t="s">
        <v>629</v>
      </c>
      <c r="Z103" s="1" t="s">
        <v>260</v>
      </c>
    </row>
    <row r="104" customFormat="false" ht="15" hidden="false" customHeight="true" outlineLevel="0" collapsed="false">
      <c r="A104" s="1" t="str">
        <f aca="false">+L104</f>
        <v>BB</v>
      </c>
      <c r="B104" s="1" t="str">
        <f aca="false">IF(IFERROR(HLOOKUP(B$2,$M$2:$BL104,$J104,FALSE()),"")="","",IFERROR(HLOOKUP(B$2,$M$2:$BL104,$J104,FALSE()),""))</f>
        <v>5%-15%</v>
      </c>
      <c r="C104" s="1" t="str">
        <f aca="false">IF(IFERROR(HLOOKUP(C$2,$M$2:$BL104,$J104,FALSE()),"")="","",IFERROR(HLOOKUP(C$2,$M$2:$BL104,$J104,FALSE()),""))</f>
        <v/>
      </c>
      <c r="D104" s="1" t="str">
        <f aca="false">IF(IFERROR(HLOOKUP(D$2,$M$2:$BL104,$J104,FALSE()),"")="","",IFERROR(HLOOKUP(D$2,$M$2:$BL104,$J104,FALSE()),""))</f>
        <v/>
      </c>
      <c r="E104" s="1" t="str">
        <f aca="false">IF(IFERROR(HLOOKUP(E$2,$M$2:$BL104,$J104,FALSE()),"")="","",IFERROR(HLOOKUP(E$2,$M$2:$BL104,$J104,FALSE()),""))</f>
        <v/>
      </c>
      <c r="F104" s="1" t="str">
        <f aca="false">IF(IFERROR(HLOOKUP(F$2,$M$2:$BL104,$J104,FALSE()),"")="","",IFERROR(HLOOKUP(F$2,$M$2:$BL104,$J104,FALSE()),""))</f>
        <v/>
      </c>
      <c r="G104" s="1" t="str">
        <f aca="false">IF(IFERROR(HLOOKUP(G$2,$M$2:$BL104,$J104,FALSE()),"")="","",IFERROR(HLOOKUP(G$2,$M$2:$BL104,$J104,FALSE()),""))</f>
        <v/>
      </c>
      <c r="J104" s="5" t="n">
        <f aca="false">+J103+1</f>
        <v>103</v>
      </c>
      <c r="L104" s="1" t="s">
        <v>94</v>
      </c>
      <c r="M104" s="1" t="s">
        <v>630</v>
      </c>
      <c r="N104" s="1" t="s">
        <v>482</v>
      </c>
      <c r="O104" s="1" t="s">
        <v>631</v>
      </c>
      <c r="P104" s="1" t="s">
        <v>632</v>
      </c>
      <c r="Q104" s="1" t="s">
        <v>633</v>
      </c>
      <c r="R104" s="1" t="s">
        <v>634</v>
      </c>
      <c r="S104" s="1" t="s">
        <v>625</v>
      </c>
      <c r="T104" s="1" t="s">
        <v>635</v>
      </c>
      <c r="V104" s="1" t="s">
        <v>636</v>
      </c>
      <c r="W104" s="1" t="s">
        <v>419</v>
      </c>
      <c r="X104" s="1" t="s">
        <v>482</v>
      </c>
      <c r="Y104" s="1" t="s">
        <v>618</v>
      </c>
      <c r="Z104" s="1" t="s">
        <v>266</v>
      </c>
    </row>
    <row r="105" customFormat="false" ht="15" hidden="false" customHeight="true" outlineLevel="0" collapsed="false">
      <c r="A105" s="1" t="str">
        <f aca="false">+L105</f>
        <v>B</v>
      </c>
      <c r="B105" s="1" t="str">
        <f aca="false">IF(IFERROR(HLOOKUP(B$2,$M$2:$BL105,$J105,FALSE()),"")="","",IFERROR(HLOOKUP(B$2,$M$2:$BL105,$J105,FALSE()),""))</f>
        <v>0%-5%</v>
      </c>
      <c r="C105" s="1" t="str">
        <f aca="false">IF(IFERROR(HLOOKUP(C$2,$M$2:$BL105,$J105,FALSE()),"")="","",IFERROR(HLOOKUP(C$2,$M$2:$BL105,$J105,FALSE()),""))</f>
        <v/>
      </c>
      <c r="D105" s="1" t="str">
        <f aca="false">IF(IFERROR(HLOOKUP(D$2,$M$2:$BL105,$J105,FALSE()),"")="","",IFERROR(HLOOKUP(D$2,$M$2:$BL105,$J105,FALSE()),""))</f>
        <v/>
      </c>
      <c r="E105" s="1" t="str">
        <f aca="false">IF(IFERROR(HLOOKUP(E$2,$M$2:$BL105,$J105,FALSE()),"")="","",IFERROR(HLOOKUP(E$2,$M$2:$BL105,$J105,FALSE()),""))</f>
        <v/>
      </c>
      <c r="F105" s="1" t="str">
        <f aca="false">IF(IFERROR(HLOOKUP(F$2,$M$2:$BL105,$J105,FALSE()),"")="","",IFERROR(HLOOKUP(F$2,$M$2:$BL105,$J105,FALSE()),""))</f>
        <v/>
      </c>
      <c r="G105" s="1" t="str">
        <f aca="false">IF(IFERROR(HLOOKUP(G$2,$M$2:$BL105,$J105,FALSE()),"")="","",IFERROR(HLOOKUP(G$2,$M$2:$BL105,$J105,FALSE()),""))</f>
        <v/>
      </c>
      <c r="J105" s="5" t="n">
        <f aca="false">+J104+1</f>
        <v>104</v>
      </c>
      <c r="L105" s="1" t="s">
        <v>136</v>
      </c>
      <c r="M105" s="1" t="s">
        <v>637</v>
      </c>
      <c r="N105" s="1" t="s">
        <v>490</v>
      </c>
      <c r="O105" s="1" t="s">
        <v>638</v>
      </c>
      <c r="P105" s="1" t="s">
        <v>639</v>
      </c>
      <c r="Q105" s="1" t="s">
        <v>640</v>
      </c>
      <c r="R105" s="1" t="s">
        <v>641</v>
      </c>
      <c r="S105" s="1" t="s">
        <v>450</v>
      </c>
      <c r="T105" s="1" t="s">
        <v>224</v>
      </c>
      <c r="V105" s="1" t="s">
        <v>642</v>
      </c>
      <c r="W105" s="1" t="s">
        <v>412</v>
      </c>
      <c r="X105" s="1" t="s">
        <v>490</v>
      </c>
      <c r="Y105" s="1" t="s">
        <v>202</v>
      </c>
      <c r="Z105" s="1" t="s">
        <v>643</v>
      </c>
    </row>
    <row r="106" customFormat="false" ht="15" hidden="false" customHeight="true" outlineLevel="0" collapsed="false">
      <c r="A106" s="1" t="str">
        <f aca="false">+L106</f>
        <v>CCC and below</v>
      </c>
      <c r="B106" s="1" t="str">
        <f aca="false">IF(IFERROR(HLOOKUP(B$2,$M$2:$BL106,$J106,FALSE()),"")="","",IFERROR(HLOOKUP(B$2,$M$2:$BL106,$J106,FALSE()),""))</f>
        <v>Negative</v>
      </c>
      <c r="C106" s="1" t="str">
        <f aca="false">IF(IFERROR(HLOOKUP(C$2,$M$2:$BL106,$J106,FALSE()),"")="","",IFERROR(HLOOKUP(C$2,$M$2:$BL106,$J106,FALSE()),""))</f>
        <v/>
      </c>
      <c r="D106" s="1" t="str">
        <f aca="false">IF(IFERROR(HLOOKUP(D$2,$M$2:$BL106,$J106,FALSE()),"")="","",IFERROR(HLOOKUP(D$2,$M$2:$BL106,$J106,FALSE()),""))</f>
        <v/>
      </c>
      <c r="E106" s="1" t="str">
        <f aca="false">IF(IFERROR(HLOOKUP(E$2,$M$2:$BL106,$J106,FALSE()),"")="","",IFERROR(HLOOKUP(E$2,$M$2:$BL106,$J106,FALSE()),""))</f>
        <v/>
      </c>
      <c r="F106" s="1" t="str">
        <f aca="false">IF(IFERROR(HLOOKUP(F$2,$M$2:$BL106,$J106,FALSE()),"")="","",IFERROR(HLOOKUP(F$2,$M$2:$BL106,$J106,FALSE()),""))</f>
        <v/>
      </c>
      <c r="G106" s="1" t="str">
        <f aca="false">IF(IFERROR(HLOOKUP(G$2,$M$2:$BL106,$J106,FALSE()),"")="","",IFERROR(HLOOKUP(G$2,$M$2:$BL106,$J106,FALSE()),""))</f>
        <v/>
      </c>
      <c r="J106" s="5" t="n">
        <f aca="false">+J105+1</f>
        <v>105</v>
      </c>
      <c r="L106" s="1" t="s">
        <v>163</v>
      </c>
      <c r="M106" s="1" t="s">
        <v>552</v>
      </c>
      <c r="N106" s="1" t="s">
        <v>644</v>
      </c>
      <c r="O106" s="1" t="s">
        <v>235</v>
      </c>
      <c r="P106" s="1" t="s">
        <v>235</v>
      </c>
      <c r="Q106" s="1" t="s">
        <v>552</v>
      </c>
      <c r="R106" s="1" t="s">
        <v>235</v>
      </c>
      <c r="S106" s="1" t="s">
        <v>450</v>
      </c>
      <c r="T106" s="1" t="s">
        <v>645</v>
      </c>
      <c r="V106" s="1" t="s">
        <v>645</v>
      </c>
      <c r="W106" s="1" t="s">
        <v>646</v>
      </c>
      <c r="X106" s="1" t="s">
        <v>647</v>
      </c>
      <c r="Y106" s="1" t="s">
        <v>224</v>
      </c>
      <c r="Z106" s="1" t="s">
        <v>648</v>
      </c>
    </row>
    <row r="107" s="14" customFormat="true" ht="15" hidden="false" customHeight="true" outlineLevel="0" collapsed="false">
      <c r="A107" s="13" t="str">
        <f aca="false">+K107</f>
        <v>Factor 2</v>
      </c>
      <c r="B107" s="13" t="str">
        <f aca="false">IF(IFERROR(HLOOKUP(B$2,$M$2:$BL107,$J107,FALSE()),"")="","",IFERROR(HLOOKUP(B$2,$M$2:$BL107,$J107,FALSE()),""))</f>
        <v>Volatility</v>
      </c>
      <c r="C107" s="13" t="str">
        <f aca="false">IF(IFERROR(HLOOKUP(C$2,$M$2:$BL107,$J107,FALSE()),"")="","",IFERROR(HLOOKUP(C$2,$M$2:$BL107,$J107,FALSE()),""))</f>
        <v/>
      </c>
      <c r="D107" s="13" t="str">
        <f aca="false">IF(IFERROR(HLOOKUP(D$2,$M$2:$BL107,$J107,FALSE()),"")="","",IFERROR(HLOOKUP(D$2,$M$2:$BL107,$J107,FALSE()),""))</f>
        <v/>
      </c>
      <c r="E107" s="13" t="str">
        <f aca="false">IF(IFERROR(HLOOKUP(E$2,$M$2:$BL107,$J107,FALSE()),"")="","",IFERROR(HLOOKUP(E$2,$M$2:$BL107,$J107,FALSE()),""))</f>
        <v/>
      </c>
      <c r="F107" s="13" t="str">
        <f aca="false">IF(IFERROR(HLOOKUP(F$2,$M$2:$BL107,$J107,FALSE()),"")="","",IFERROR(HLOOKUP(F$2,$M$2:$BL107,$J107,FALSE()),""))</f>
        <v/>
      </c>
      <c r="G107" s="13" t="str">
        <f aca="false">IF(IFERROR(HLOOKUP(G$2,$M$2:$BL107,$J107,FALSE()),"")="","",IFERROR(HLOOKUP(G$2,$M$2:$BL107,$J107,FALSE()),""))</f>
        <v/>
      </c>
      <c r="H107" s="13"/>
      <c r="J107" s="15" t="n">
        <f aca="false">+J106+1</f>
        <v>106</v>
      </c>
      <c r="K107" s="14" t="s">
        <v>173</v>
      </c>
      <c r="M107" s="14" t="s">
        <v>599</v>
      </c>
      <c r="O107" s="14" t="s">
        <v>649</v>
      </c>
      <c r="P107" s="14" t="s">
        <v>599</v>
      </c>
      <c r="Q107" s="14" t="s">
        <v>599</v>
      </c>
      <c r="R107" s="14" t="s">
        <v>650</v>
      </c>
      <c r="S107" s="14" t="s">
        <v>596</v>
      </c>
      <c r="T107" s="14" t="s">
        <v>651</v>
      </c>
      <c r="V107" s="14" t="s">
        <v>652</v>
      </c>
      <c r="W107" s="14" t="s">
        <v>653</v>
      </c>
      <c r="Z107" s="14" t="s">
        <v>654</v>
      </c>
    </row>
    <row r="108" customFormat="false" ht="15" hidden="false" customHeight="true" outlineLevel="0" collapsed="false">
      <c r="A108" s="1" t="str">
        <f aca="false">+L108</f>
        <v>AA and above</v>
      </c>
      <c r="B108" s="1" t="str">
        <f aca="false">IF(IFERROR(HLOOKUP(B$2,$M$2:$BL108,$J108,FALSE()),"")="","",IFERROR(HLOOKUP(B$2,$M$2:$BL108,$J108,FALSE()),""))</f>
        <v>Low to medium</v>
      </c>
      <c r="C108" s="1" t="str">
        <f aca="false">IF(IFERROR(HLOOKUP(C$2,$M$2:$BL108,$J108,FALSE()),"")="","",IFERROR(HLOOKUP(C$2,$M$2:$BL108,$J108,FALSE()),""))</f>
        <v/>
      </c>
      <c r="D108" s="1" t="str">
        <f aca="false">IF(IFERROR(HLOOKUP(D$2,$M$2:$BL108,$J108,FALSE()),"")="","",IFERROR(HLOOKUP(D$2,$M$2:$BL108,$J108,FALSE()),""))</f>
        <v/>
      </c>
      <c r="E108" s="1" t="str">
        <f aca="false">IF(IFERROR(HLOOKUP(E$2,$M$2:$BL108,$J108,FALSE()),"")="","",IFERROR(HLOOKUP(E$2,$M$2:$BL108,$J108,FALSE()),""))</f>
        <v/>
      </c>
      <c r="F108" s="1" t="str">
        <f aca="false">IF(IFERROR(HLOOKUP(F$2,$M$2:$BL108,$J108,FALSE()),"")="","",IFERROR(HLOOKUP(F$2,$M$2:$BL108,$J108,FALSE()),""))</f>
        <v/>
      </c>
      <c r="G108" s="1" t="str">
        <f aca="false">IF(IFERROR(HLOOKUP(G$2,$M$2:$BL108,$J108,FALSE()),"")="","",IFERROR(HLOOKUP(G$2,$M$2:$BL108,$J108,FALSE()),""))</f>
        <v/>
      </c>
      <c r="J108" s="5" t="n">
        <f aca="false">+J107+1</f>
        <v>107</v>
      </c>
      <c r="L108" s="1" t="s">
        <v>30</v>
      </c>
      <c r="M108" s="1" t="s">
        <v>418</v>
      </c>
      <c r="O108" s="1" t="s">
        <v>411</v>
      </c>
      <c r="P108" s="1" t="s">
        <v>655</v>
      </c>
      <c r="Q108" s="1" t="s">
        <v>418</v>
      </c>
      <c r="R108" s="1" t="s">
        <v>605</v>
      </c>
      <c r="S108" s="1" t="s">
        <v>517</v>
      </c>
      <c r="T108" s="1" t="s">
        <v>656</v>
      </c>
      <c r="V108" s="1" t="s">
        <v>103</v>
      </c>
      <c r="W108" s="1" t="s">
        <v>657</v>
      </c>
      <c r="Z108" s="1" t="s">
        <v>658</v>
      </c>
    </row>
    <row r="109" customFormat="false" ht="15" hidden="false" customHeight="true" outlineLevel="0" collapsed="false">
      <c r="A109" s="1" t="str">
        <f aca="false">+L109</f>
        <v>A</v>
      </c>
      <c r="B109" s="1" t="str">
        <f aca="false">IF(IFERROR(HLOOKUP(B$2,$M$2:$BL109,$J109,FALSE()),"")="","",IFERROR(HLOOKUP(B$2,$M$2:$BL109,$J109,FALSE()),""))</f>
        <v>Low to medium</v>
      </c>
      <c r="C109" s="1" t="str">
        <f aca="false">IF(IFERROR(HLOOKUP(C$2,$M$2:$BL109,$J109,FALSE()),"")="","",IFERROR(HLOOKUP(C$2,$M$2:$BL109,$J109,FALSE()),""))</f>
        <v/>
      </c>
      <c r="D109" s="1" t="str">
        <f aca="false">IF(IFERROR(HLOOKUP(D$2,$M$2:$BL109,$J109,FALSE()),"")="","",IFERROR(HLOOKUP(D$2,$M$2:$BL109,$J109,FALSE()),""))</f>
        <v/>
      </c>
      <c r="E109" s="1" t="str">
        <f aca="false">IF(IFERROR(HLOOKUP(E$2,$M$2:$BL109,$J109,FALSE()),"")="","",IFERROR(HLOOKUP(E$2,$M$2:$BL109,$J109,FALSE()),""))</f>
        <v/>
      </c>
      <c r="F109" s="1" t="str">
        <f aca="false">IF(IFERROR(HLOOKUP(F$2,$M$2:$BL109,$J109,FALSE()),"")="","",IFERROR(HLOOKUP(F$2,$M$2:$BL109,$J109,FALSE()),""))</f>
        <v/>
      </c>
      <c r="G109" s="1" t="str">
        <f aca="false">IF(IFERROR(HLOOKUP(G$2,$M$2:$BL109,$J109,FALSE()),"")="","",IFERROR(HLOOKUP(G$2,$M$2:$BL109,$J109,FALSE()),""))</f>
        <v/>
      </c>
      <c r="J109" s="5" t="n">
        <f aca="false">+J108+1</f>
        <v>108</v>
      </c>
      <c r="L109" s="1" t="s">
        <v>63</v>
      </c>
      <c r="M109" s="1" t="s">
        <v>418</v>
      </c>
      <c r="O109" s="1" t="s">
        <v>260</v>
      </c>
      <c r="P109" s="1" t="s">
        <v>655</v>
      </c>
      <c r="Q109" s="1" t="s">
        <v>418</v>
      </c>
      <c r="R109" s="1" t="s">
        <v>659</v>
      </c>
      <c r="S109" s="1" t="s">
        <v>660</v>
      </c>
      <c r="T109" s="1" t="s">
        <v>661</v>
      </c>
      <c r="V109" s="1" t="s">
        <v>662</v>
      </c>
      <c r="W109" s="1" t="s">
        <v>482</v>
      </c>
      <c r="Z109" s="1" t="s">
        <v>663</v>
      </c>
    </row>
    <row r="110" customFormat="false" ht="15" hidden="false" customHeight="true" outlineLevel="0" collapsed="false">
      <c r="A110" s="1" t="str">
        <f aca="false">+L110</f>
        <v>BBB</v>
      </c>
      <c r="B110" s="1" t="str">
        <f aca="false">IF(IFERROR(HLOOKUP(B$2,$M$2:$BL110,$J110,FALSE()),"")="","",IFERROR(HLOOKUP(B$2,$M$2:$BL110,$J110,FALSE()),""))</f>
        <v>Low to medium</v>
      </c>
      <c r="C110" s="1" t="str">
        <f aca="false">IF(IFERROR(HLOOKUP(C$2,$M$2:$BL110,$J110,FALSE()),"")="","",IFERROR(HLOOKUP(C$2,$M$2:$BL110,$J110,FALSE()),""))</f>
        <v/>
      </c>
      <c r="D110" s="1" t="str">
        <f aca="false">IF(IFERROR(HLOOKUP(D$2,$M$2:$BL110,$J110,FALSE()),"")="","",IFERROR(HLOOKUP(D$2,$M$2:$BL110,$J110,FALSE()),""))</f>
        <v/>
      </c>
      <c r="E110" s="1" t="str">
        <f aca="false">IF(IFERROR(HLOOKUP(E$2,$M$2:$BL110,$J110,FALSE()),"")="","",IFERROR(HLOOKUP(E$2,$M$2:$BL110,$J110,FALSE()),""))</f>
        <v/>
      </c>
      <c r="F110" s="1" t="str">
        <f aca="false">IF(IFERROR(HLOOKUP(F$2,$M$2:$BL110,$J110,FALSE()),"")="","",IFERROR(HLOOKUP(F$2,$M$2:$BL110,$J110,FALSE()),""))</f>
        <v/>
      </c>
      <c r="G110" s="1" t="str">
        <f aca="false">IF(IFERROR(HLOOKUP(G$2,$M$2:$BL110,$J110,FALSE()),"")="","",IFERROR(HLOOKUP(G$2,$M$2:$BL110,$J110,FALSE()),""))</f>
        <v/>
      </c>
      <c r="J110" s="5" t="n">
        <f aca="false">+J109+1</f>
        <v>109</v>
      </c>
      <c r="L110" s="1" t="s">
        <v>72</v>
      </c>
      <c r="M110" s="1" t="s">
        <v>625</v>
      </c>
      <c r="O110" s="1" t="s">
        <v>266</v>
      </c>
      <c r="P110" s="1" t="s">
        <v>655</v>
      </c>
      <c r="Q110" s="1" t="s">
        <v>625</v>
      </c>
      <c r="R110" s="1" t="s">
        <v>664</v>
      </c>
      <c r="S110" s="1" t="s">
        <v>665</v>
      </c>
      <c r="T110" s="1" t="s">
        <v>666</v>
      </c>
      <c r="V110" s="1" t="s">
        <v>662</v>
      </c>
      <c r="W110" s="1" t="s">
        <v>667</v>
      </c>
      <c r="Z110" s="1" t="s">
        <v>668</v>
      </c>
    </row>
    <row r="111" customFormat="false" ht="15" hidden="false" customHeight="true" outlineLevel="0" collapsed="false">
      <c r="A111" s="1" t="str">
        <f aca="false">+L111</f>
        <v>BB</v>
      </c>
      <c r="B111" s="1" t="str">
        <f aca="false">IF(IFERROR(HLOOKUP(B$2,$M$2:$BL111,$J111,FALSE()),"")="","",IFERROR(HLOOKUP(B$2,$M$2:$BL111,$J111,FALSE()),""))</f>
        <v>Medium to high</v>
      </c>
      <c r="C111" s="1" t="str">
        <f aca="false">IF(IFERROR(HLOOKUP(C$2,$M$2:$BL111,$J111,FALSE()),"")="","",IFERROR(HLOOKUP(C$2,$M$2:$BL111,$J111,FALSE()),""))</f>
        <v/>
      </c>
      <c r="D111" s="1" t="str">
        <f aca="false">IF(IFERROR(HLOOKUP(D$2,$M$2:$BL111,$J111,FALSE()),"")="","",IFERROR(HLOOKUP(D$2,$M$2:$BL111,$J111,FALSE()),""))</f>
        <v/>
      </c>
      <c r="E111" s="1" t="str">
        <f aca="false">IF(IFERROR(HLOOKUP(E$2,$M$2:$BL111,$J111,FALSE()),"")="","",IFERROR(HLOOKUP(E$2,$M$2:$BL111,$J111,FALSE()),""))</f>
        <v/>
      </c>
      <c r="F111" s="1" t="str">
        <f aca="false">IF(IFERROR(HLOOKUP(F$2,$M$2:$BL111,$J111,FALSE()),"")="","",IFERROR(HLOOKUP(F$2,$M$2:$BL111,$J111,FALSE()),""))</f>
        <v/>
      </c>
      <c r="G111" s="1" t="str">
        <f aca="false">IF(IFERROR(HLOOKUP(G$2,$M$2:$BL111,$J111,FALSE()),"")="","",IFERROR(HLOOKUP(G$2,$M$2:$BL111,$J111,FALSE()),""))</f>
        <v/>
      </c>
      <c r="J111" s="5" t="n">
        <f aca="false">+J110+1</f>
        <v>110</v>
      </c>
      <c r="L111" s="1" t="s">
        <v>94</v>
      </c>
      <c r="M111" s="1" t="s">
        <v>625</v>
      </c>
      <c r="O111" s="1" t="s">
        <v>439</v>
      </c>
      <c r="P111" s="1" t="s">
        <v>669</v>
      </c>
      <c r="Q111" s="1" t="s">
        <v>625</v>
      </c>
      <c r="R111" s="1" t="s">
        <v>484</v>
      </c>
      <c r="S111" s="1" t="s">
        <v>670</v>
      </c>
      <c r="T111" s="1" t="s">
        <v>671</v>
      </c>
      <c r="V111" s="1" t="s">
        <v>672</v>
      </c>
      <c r="W111" s="1" t="s">
        <v>673</v>
      </c>
      <c r="Z111" s="1" t="s">
        <v>674</v>
      </c>
    </row>
    <row r="112" customFormat="false" ht="15" hidden="false" customHeight="true" outlineLevel="0" collapsed="false">
      <c r="A112" s="1" t="str">
        <f aca="false">+L112</f>
        <v>B</v>
      </c>
      <c r="B112" s="1" t="str">
        <f aca="false">IF(IFERROR(HLOOKUP(B$2,$M$2:$BL112,$J112,FALSE()),"")="","",IFERROR(HLOOKUP(B$2,$M$2:$BL112,$J112,FALSE()),""))</f>
        <v>Medium to high</v>
      </c>
      <c r="C112" s="1" t="str">
        <f aca="false">IF(IFERROR(HLOOKUP(C$2,$M$2:$BL112,$J112,FALSE()),"")="","",IFERROR(HLOOKUP(C$2,$M$2:$BL112,$J112,FALSE()),""))</f>
        <v/>
      </c>
      <c r="D112" s="1" t="str">
        <f aca="false">IF(IFERROR(HLOOKUP(D$2,$M$2:$BL112,$J112,FALSE()),"")="","",IFERROR(HLOOKUP(D$2,$M$2:$BL112,$J112,FALSE()),""))</f>
        <v/>
      </c>
      <c r="E112" s="1" t="str">
        <f aca="false">IF(IFERROR(HLOOKUP(E$2,$M$2:$BL112,$J112,FALSE()),"")="","",IFERROR(HLOOKUP(E$2,$M$2:$BL112,$J112,FALSE()),""))</f>
        <v/>
      </c>
      <c r="F112" s="1" t="str">
        <f aca="false">IF(IFERROR(HLOOKUP(F$2,$M$2:$BL112,$J112,FALSE()),"")="","",IFERROR(HLOOKUP(F$2,$M$2:$BL112,$J112,FALSE()),""))</f>
        <v/>
      </c>
      <c r="G112" s="1" t="str">
        <f aca="false">IF(IFERROR(HLOOKUP(G$2,$M$2:$BL112,$J112,FALSE()),"")="","",IFERROR(HLOOKUP(G$2,$M$2:$BL112,$J112,FALSE()),""))</f>
        <v/>
      </c>
      <c r="J112" s="5" t="n">
        <f aca="false">+J111+1</f>
        <v>111</v>
      </c>
      <c r="L112" s="1" t="s">
        <v>136</v>
      </c>
      <c r="M112" s="1" t="s">
        <v>450</v>
      </c>
      <c r="O112" s="1" t="s">
        <v>675</v>
      </c>
      <c r="P112" s="1" t="s">
        <v>669</v>
      </c>
      <c r="Q112" s="1" t="s">
        <v>450</v>
      </c>
      <c r="R112" s="1" t="s">
        <v>676</v>
      </c>
      <c r="S112" s="1" t="s">
        <v>677</v>
      </c>
      <c r="T112" s="1" t="s">
        <v>678</v>
      </c>
      <c r="V112" s="1" t="s">
        <v>672</v>
      </c>
      <c r="W112" s="1" t="s">
        <v>679</v>
      </c>
      <c r="Z112" s="1" t="s">
        <v>680</v>
      </c>
    </row>
    <row r="113" customFormat="false" ht="15" hidden="false" customHeight="true" outlineLevel="0" collapsed="false">
      <c r="A113" s="1" t="str">
        <f aca="false">+L113</f>
        <v>CCC and below</v>
      </c>
      <c r="B113" s="1" t="str">
        <f aca="false">IF(IFERROR(HLOOKUP(B$2,$M$2:$BL113,$J113,FALSE()),"")="","",IFERROR(HLOOKUP(B$2,$M$2:$BL113,$J113,FALSE()),""))</f>
        <v>Medium to high</v>
      </c>
      <c r="C113" s="1" t="str">
        <f aca="false">IF(IFERROR(HLOOKUP(C$2,$M$2:$BL113,$J113,FALSE()),"")="","",IFERROR(HLOOKUP(C$2,$M$2:$BL113,$J113,FALSE()),""))</f>
        <v/>
      </c>
      <c r="D113" s="1" t="str">
        <f aca="false">IF(IFERROR(HLOOKUP(D$2,$M$2:$BL113,$J113,FALSE()),"")="","",IFERROR(HLOOKUP(D$2,$M$2:$BL113,$J113,FALSE()),""))</f>
        <v/>
      </c>
      <c r="E113" s="1" t="str">
        <f aca="false">IF(IFERROR(HLOOKUP(E$2,$M$2:$BL113,$J113,FALSE()),"")="","",IFERROR(HLOOKUP(E$2,$M$2:$BL113,$J113,FALSE()),""))</f>
        <v/>
      </c>
      <c r="F113" s="1" t="str">
        <f aca="false">IF(IFERROR(HLOOKUP(F$2,$M$2:$BL113,$J113,FALSE()),"")="","",IFERROR(HLOOKUP(F$2,$M$2:$BL113,$J113,FALSE()),""))</f>
        <v/>
      </c>
      <c r="G113" s="1" t="str">
        <f aca="false">IF(IFERROR(HLOOKUP(G$2,$M$2:$BL113,$J113,FALSE()),"")="","",IFERROR(HLOOKUP(G$2,$M$2:$BL113,$J113,FALSE()),""))</f>
        <v/>
      </c>
      <c r="J113" s="5" t="n">
        <f aca="false">+J112+1</f>
        <v>112</v>
      </c>
      <c r="L113" s="1" t="s">
        <v>163</v>
      </c>
      <c r="M113" s="1" t="s">
        <v>450</v>
      </c>
      <c r="O113" s="1" t="s">
        <v>648</v>
      </c>
      <c r="P113" s="1" t="s">
        <v>669</v>
      </c>
      <c r="Q113" s="1" t="s">
        <v>450</v>
      </c>
      <c r="R113" s="1" t="s">
        <v>681</v>
      </c>
      <c r="S113" s="1" t="s">
        <v>682</v>
      </c>
      <c r="T113" s="1" t="s">
        <v>645</v>
      </c>
      <c r="V113" s="1" t="s">
        <v>683</v>
      </c>
      <c r="W113" s="1" t="s">
        <v>646</v>
      </c>
      <c r="Z113" s="1" t="s">
        <v>231</v>
      </c>
    </row>
    <row r="114" s="14" customFormat="true" ht="15" hidden="false" customHeight="true" outlineLevel="0" collapsed="false">
      <c r="A114" s="13" t="str">
        <f aca="false">+K114</f>
        <v>Factor 3</v>
      </c>
      <c r="B114" s="13" t="str">
        <f aca="false">IF(IFERROR(HLOOKUP(B$2,$M$2:$BL114,$J114,FALSE()),"")="","",IFERROR(HLOOKUP(B$2,$M$2:$BL114,$J114,FALSE()),""))</f>
        <v/>
      </c>
      <c r="C114" s="13" t="str">
        <f aca="false">IF(IFERROR(HLOOKUP(C$2,$M$2:$BL114,$J114,FALSE()),"")="","",IFERROR(HLOOKUP(C$2,$M$2:$BL114,$J114,FALSE()),""))</f>
        <v/>
      </c>
      <c r="D114" s="13" t="str">
        <f aca="false">IF(IFERROR(HLOOKUP(D$2,$M$2:$BL114,$J114,FALSE()),"")="","",IFERROR(HLOOKUP(D$2,$M$2:$BL114,$J114,FALSE()),""))</f>
        <v/>
      </c>
      <c r="E114" s="13" t="str">
        <f aca="false">IF(IFERROR(HLOOKUP(E$2,$M$2:$BL114,$J114,FALSE()),"")="","",IFERROR(HLOOKUP(E$2,$M$2:$BL114,$J114,FALSE()),""))</f>
        <v/>
      </c>
      <c r="F114" s="13" t="str">
        <f aca="false">IF(IFERROR(HLOOKUP(F$2,$M$2:$BL114,$J114,FALSE()),"")="","",IFERROR(HLOOKUP(F$2,$M$2:$BL114,$J114,FALSE()),""))</f>
        <v/>
      </c>
      <c r="G114" s="13" t="str">
        <f aca="false">IF(IFERROR(HLOOKUP(G$2,$M$2:$BL114,$J114,FALSE()),"")="","",IFERROR(HLOOKUP(G$2,$M$2:$BL114,$J114,FALSE()),""))</f>
        <v/>
      </c>
      <c r="H114" s="13"/>
      <c r="J114" s="15" t="n">
        <f aca="false">+J113+1</f>
        <v>113</v>
      </c>
      <c r="K114" s="14" t="s">
        <v>239</v>
      </c>
      <c r="O114" s="14" t="s">
        <v>599</v>
      </c>
      <c r="R114" s="14" t="s">
        <v>599</v>
      </c>
      <c r="S114" s="14" t="s">
        <v>684</v>
      </c>
      <c r="T114" s="14" t="s">
        <v>685</v>
      </c>
      <c r="V114" s="14" t="s">
        <v>686</v>
      </c>
      <c r="W114" s="14" t="s">
        <v>687</v>
      </c>
    </row>
    <row r="115" customFormat="false" ht="15" hidden="false" customHeight="true" outlineLevel="0" collapsed="false">
      <c r="A115" s="1" t="str">
        <f aca="false">+L115</f>
        <v>AA and above</v>
      </c>
      <c r="B115" s="1" t="str">
        <f aca="false">IF(IFERROR(HLOOKUP(B$2,$M$2:$BL115,$J115,FALSE()),"")="","",IFERROR(HLOOKUP(B$2,$M$2:$BL115,$J115,FALSE()),""))</f>
        <v/>
      </c>
      <c r="C115" s="1" t="str">
        <f aca="false">IF(IFERROR(HLOOKUP(C$2,$M$2:$BL115,$J115,FALSE()),"")="","",IFERROR(HLOOKUP(C$2,$M$2:$BL115,$J115,FALSE()),""))</f>
        <v/>
      </c>
      <c r="D115" s="1" t="str">
        <f aca="false">IF(IFERROR(HLOOKUP(D$2,$M$2:$BL115,$J115,FALSE()),"")="","",IFERROR(HLOOKUP(D$2,$M$2:$BL115,$J115,FALSE()),""))</f>
        <v/>
      </c>
      <c r="E115" s="1" t="str">
        <f aca="false">IF(IFERROR(HLOOKUP(E$2,$M$2:$BL115,$J115,FALSE()),"")="","",IFERROR(HLOOKUP(E$2,$M$2:$BL115,$J115,FALSE()),""))</f>
        <v/>
      </c>
      <c r="F115" s="1" t="str">
        <f aca="false">IF(IFERROR(HLOOKUP(F$2,$M$2:$BL115,$J115,FALSE()),"")="","",IFERROR(HLOOKUP(F$2,$M$2:$BL115,$J115,FALSE()),""))</f>
        <v/>
      </c>
      <c r="G115" s="1" t="str">
        <f aca="false">IF(IFERROR(HLOOKUP(G$2,$M$2:$BL115,$J115,FALSE()),"")="","",IFERROR(HLOOKUP(G$2,$M$2:$BL115,$J115,FALSE()),""))</f>
        <v/>
      </c>
      <c r="J115" s="5" t="n">
        <f aca="false">+J114+1</f>
        <v>114</v>
      </c>
      <c r="L115" s="1" t="s">
        <v>30</v>
      </c>
      <c r="O115" s="1" t="s">
        <v>655</v>
      </c>
      <c r="R115" s="1" t="s">
        <v>418</v>
      </c>
      <c r="S115" s="1" t="s">
        <v>564</v>
      </c>
      <c r="T115" s="1" t="s">
        <v>688</v>
      </c>
      <c r="V115" s="1" t="s">
        <v>103</v>
      </c>
      <c r="W115" s="1" t="s">
        <v>657</v>
      </c>
    </row>
    <row r="116" customFormat="false" ht="15" hidden="false" customHeight="true" outlineLevel="0" collapsed="false">
      <c r="A116" s="1" t="str">
        <f aca="false">+L116</f>
        <v>A</v>
      </c>
      <c r="B116" s="1" t="str">
        <f aca="false">IF(IFERROR(HLOOKUP(B$2,$M$2:$BL116,$J116,FALSE()),"")="","",IFERROR(HLOOKUP(B$2,$M$2:$BL116,$J116,FALSE()),""))</f>
        <v/>
      </c>
      <c r="C116" s="1" t="str">
        <f aca="false">IF(IFERROR(HLOOKUP(C$2,$M$2:$BL116,$J116,FALSE()),"")="","",IFERROR(HLOOKUP(C$2,$M$2:$BL116,$J116,FALSE()),""))</f>
        <v/>
      </c>
      <c r="D116" s="1" t="str">
        <f aca="false">IF(IFERROR(HLOOKUP(D$2,$M$2:$BL116,$J116,FALSE()),"")="","",IFERROR(HLOOKUP(D$2,$M$2:$BL116,$J116,FALSE()),""))</f>
        <v/>
      </c>
      <c r="E116" s="1" t="str">
        <f aca="false">IF(IFERROR(HLOOKUP(E$2,$M$2:$BL116,$J116,FALSE()),"")="","",IFERROR(HLOOKUP(E$2,$M$2:$BL116,$J116,FALSE()),""))</f>
        <v/>
      </c>
      <c r="F116" s="1" t="str">
        <f aca="false">IF(IFERROR(HLOOKUP(F$2,$M$2:$BL116,$J116,FALSE()),"")="","",IFERROR(HLOOKUP(F$2,$M$2:$BL116,$J116,FALSE()),""))</f>
        <v/>
      </c>
      <c r="G116" s="1" t="str">
        <f aca="false">IF(IFERROR(HLOOKUP(G$2,$M$2:$BL116,$J116,FALSE()),"")="","",IFERROR(HLOOKUP(G$2,$M$2:$BL116,$J116,FALSE()),""))</f>
        <v/>
      </c>
      <c r="J116" s="5" t="n">
        <f aca="false">+J115+1</f>
        <v>115</v>
      </c>
      <c r="L116" s="1" t="s">
        <v>63</v>
      </c>
      <c r="O116" s="1" t="s">
        <v>655</v>
      </c>
      <c r="R116" s="1" t="s">
        <v>418</v>
      </c>
      <c r="S116" s="1" t="s">
        <v>689</v>
      </c>
      <c r="T116" s="1" t="s">
        <v>688</v>
      </c>
      <c r="V116" s="1" t="s">
        <v>690</v>
      </c>
      <c r="W116" s="1" t="s">
        <v>482</v>
      </c>
    </row>
    <row r="117" customFormat="false" ht="15" hidden="false" customHeight="true" outlineLevel="0" collapsed="false">
      <c r="A117" s="1" t="str">
        <f aca="false">+L117</f>
        <v>BBB</v>
      </c>
      <c r="B117" s="1" t="str">
        <f aca="false">IF(IFERROR(HLOOKUP(B$2,$M$2:$BL117,$J117,FALSE()),"")="","",IFERROR(HLOOKUP(B$2,$M$2:$BL117,$J117,FALSE()),""))</f>
        <v/>
      </c>
      <c r="C117" s="1" t="str">
        <f aca="false">IF(IFERROR(HLOOKUP(C$2,$M$2:$BL117,$J117,FALSE()),"")="","",IFERROR(HLOOKUP(C$2,$M$2:$BL117,$J117,FALSE()),""))</f>
        <v/>
      </c>
      <c r="D117" s="1" t="str">
        <f aca="false">IF(IFERROR(HLOOKUP(D$2,$M$2:$BL117,$J117,FALSE()),"")="","",IFERROR(HLOOKUP(D$2,$M$2:$BL117,$J117,FALSE()),""))</f>
        <v/>
      </c>
      <c r="E117" s="1" t="str">
        <f aca="false">IF(IFERROR(HLOOKUP(E$2,$M$2:$BL117,$J117,FALSE()),"")="","",IFERROR(HLOOKUP(E$2,$M$2:$BL117,$J117,FALSE()),""))</f>
        <v/>
      </c>
      <c r="F117" s="1" t="str">
        <f aca="false">IF(IFERROR(HLOOKUP(F$2,$M$2:$BL117,$J117,FALSE()),"")="","",IFERROR(HLOOKUP(F$2,$M$2:$BL117,$J117,FALSE()),""))</f>
        <v/>
      </c>
      <c r="G117" s="1" t="str">
        <f aca="false">IF(IFERROR(HLOOKUP(G$2,$M$2:$BL117,$J117,FALSE()),"")="","",IFERROR(HLOOKUP(G$2,$M$2:$BL117,$J117,FALSE()),""))</f>
        <v/>
      </c>
      <c r="J117" s="5" t="n">
        <f aca="false">+J116+1</f>
        <v>116</v>
      </c>
      <c r="L117" s="1" t="s">
        <v>72</v>
      </c>
      <c r="O117" s="1" t="s">
        <v>625</v>
      </c>
      <c r="R117" s="1" t="s">
        <v>625</v>
      </c>
      <c r="S117" s="1" t="s">
        <v>691</v>
      </c>
      <c r="T117" s="1" t="s">
        <v>692</v>
      </c>
      <c r="V117" s="1" t="s">
        <v>693</v>
      </c>
      <c r="W117" s="1" t="s">
        <v>694</v>
      </c>
    </row>
    <row r="118" customFormat="false" ht="15" hidden="false" customHeight="true" outlineLevel="0" collapsed="false">
      <c r="A118" s="1" t="str">
        <f aca="false">+L118</f>
        <v>BB</v>
      </c>
      <c r="B118" s="1" t="str">
        <f aca="false">IF(IFERROR(HLOOKUP(B$2,$M$2:$BL118,$J118,FALSE()),"")="","",IFERROR(HLOOKUP(B$2,$M$2:$BL118,$J118,FALSE()),""))</f>
        <v/>
      </c>
      <c r="C118" s="1" t="str">
        <f aca="false">IF(IFERROR(HLOOKUP(C$2,$M$2:$BL118,$J118,FALSE()),"")="","",IFERROR(HLOOKUP(C$2,$M$2:$BL118,$J118,FALSE()),""))</f>
        <v/>
      </c>
      <c r="D118" s="1" t="str">
        <f aca="false">IF(IFERROR(HLOOKUP(D$2,$M$2:$BL118,$J118,FALSE()),"")="","",IFERROR(HLOOKUP(D$2,$M$2:$BL118,$J118,FALSE()),""))</f>
        <v/>
      </c>
      <c r="E118" s="1" t="str">
        <f aca="false">IF(IFERROR(HLOOKUP(E$2,$M$2:$BL118,$J118,FALSE()),"")="","",IFERROR(HLOOKUP(E$2,$M$2:$BL118,$J118,FALSE()),""))</f>
        <v/>
      </c>
      <c r="F118" s="1" t="str">
        <f aca="false">IF(IFERROR(HLOOKUP(F$2,$M$2:$BL118,$J118,FALSE()),"")="","",IFERROR(HLOOKUP(F$2,$M$2:$BL118,$J118,FALSE()),""))</f>
        <v/>
      </c>
      <c r="G118" s="1" t="str">
        <f aca="false">IF(IFERROR(HLOOKUP(G$2,$M$2:$BL118,$J118,FALSE()),"")="","",IFERROR(HLOOKUP(G$2,$M$2:$BL118,$J118,FALSE()),""))</f>
        <v/>
      </c>
      <c r="J118" s="5" t="n">
        <f aca="false">+J117+1</f>
        <v>117</v>
      </c>
      <c r="L118" s="1" t="s">
        <v>94</v>
      </c>
      <c r="O118" s="1" t="s">
        <v>625</v>
      </c>
      <c r="R118" s="1" t="s">
        <v>625</v>
      </c>
      <c r="S118" s="1" t="s">
        <v>695</v>
      </c>
      <c r="T118" s="1" t="s">
        <v>696</v>
      </c>
      <c r="V118" s="1" t="s">
        <v>697</v>
      </c>
      <c r="W118" s="1" t="s">
        <v>697</v>
      </c>
    </row>
    <row r="119" customFormat="false" ht="15" hidden="false" customHeight="true" outlineLevel="0" collapsed="false">
      <c r="A119" s="1" t="str">
        <f aca="false">+L119</f>
        <v>B</v>
      </c>
      <c r="B119" s="1" t="str">
        <f aca="false">IF(IFERROR(HLOOKUP(B$2,$M$2:$BL119,$J119,FALSE()),"")="","",IFERROR(HLOOKUP(B$2,$M$2:$BL119,$J119,FALSE()),""))</f>
        <v/>
      </c>
      <c r="C119" s="1" t="str">
        <f aca="false">IF(IFERROR(HLOOKUP(C$2,$M$2:$BL119,$J119,FALSE()),"")="","",IFERROR(HLOOKUP(C$2,$M$2:$BL119,$J119,FALSE()),""))</f>
        <v/>
      </c>
      <c r="D119" s="1" t="str">
        <f aca="false">IF(IFERROR(HLOOKUP(D$2,$M$2:$BL119,$J119,FALSE()),"")="","",IFERROR(HLOOKUP(D$2,$M$2:$BL119,$J119,FALSE()),""))</f>
        <v/>
      </c>
      <c r="E119" s="1" t="str">
        <f aca="false">IF(IFERROR(HLOOKUP(E$2,$M$2:$BL119,$J119,FALSE()),"")="","",IFERROR(HLOOKUP(E$2,$M$2:$BL119,$J119,FALSE()),""))</f>
        <v/>
      </c>
      <c r="F119" s="1" t="str">
        <f aca="false">IF(IFERROR(HLOOKUP(F$2,$M$2:$BL119,$J119,FALSE()),"")="","",IFERROR(HLOOKUP(F$2,$M$2:$BL119,$J119,FALSE()),""))</f>
        <v/>
      </c>
      <c r="G119" s="1" t="str">
        <f aca="false">IF(IFERROR(HLOOKUP(G$2,$M$2:$BL119,$J119,FALSE()),"")="","",IFERROR(HLOOKUP(G$2,$M$2:$BL119,$J119,FALSE()),""))</f>
        <v/>
      </c>
      <c r="J119" s="5" t="n">
        <f aca="false">+J118+1</f>
        <v>118</v>
      </c>
      <c r="L119" s="1" t="s">
        <v>136</v>
      </c>
      <c r="O119" s="1" t="s">
        <v>450</v>
      </c>
      <c r="R119" s="1" t="s">
        <v>450</v>
      </c>
      <c r="S119" s="1" t="s">
        <v>698</v>
      </c>
      <c r="T119" s="1" t="s">
        <v>699</v>
      </c>
      <c r="V119" s="1" t="s">
        <v>700</v>
      </c>
      <c r="W119" s="1" t="s">
        <v>700</v>
      </c>
    </row>
    <row r="120" customFormat="false" ht="15" hidden="false" customHeight="true" outlineLevel="0" collapsed="false">
      <c r="A120" s="1" t="str">
        <f aca="false">+L120</f>
        <v>CCC and below</v>
      </c>
      <c r="B120" s="1" t="str">
        <f aca="false">IF(IFERROR(HLOOKUP(B$2,$M$2:$BL120,$J120,FALSE()),"")="","",IFERROR(HLOOKUP(B$2,$M$2:$BL120,$J120,FALSE()),""))</f>
        <v/>
      </c>
      <c r="C120" s="1" t="str">
        <f aca="false">IF(IFERROR(HLOOKUP(C$2,$M$2:$BL120,$J120,FALSE()),"")="","",IFERROR(HLOOKUP(C$2,$M$2:$BL120,$J120,FALSE()),""))</f>
        <v/>
      </c>
      <c r="D120" s="1" t="str">
        <f aca="false">IF(IFERROR(HLOOKUP(D$2,$M$2:$BL120,$J120,FALSE()),"")="","",IFERROR(HLOOKUP(D$2,$M$2:$BL120,$J120,FALSE()),""))</f>
        <v/>
      </c>
      <c r="E120" s="1" t="str">
        <f aca="false">IF(IFERROR(HLOOKUP(E$2,$M$2:$BL120,$J120,FALSE()),"")="","",IFERROR(HLOOKUP(E$2,$M$2:$BL120,$J120,FALSE()),""))</f>
        <v/>
      </c>
      <c r="F120" s="1" t="str">
        <f aca="false">IF(IFERROR(HLOOKUP(F$2,$M$2:$BL120,$J120,FALSE()),"")="","",IFERROR(HLOOKUP(F$2,$M$2:$BL120,$J120,FALSE()),""))</f>
        <v/>
      </c>
      <c r="G120" s="1" t="str">
        <f aca="false">IF(IFERROR(HLOOKUP(G$2,$M$2:$BL120,$J120,FALSE()),"")="","",IFERROR(HLOOKUP(G$2,$M$2:$BL120,$J120,FALSE()),""))</f>
        <v/>
      </c>
      <c r="J120" s="5" t="n">
        <f aca="false">+J119+1</f>
        <v>119</v>
      </c>
      <c r="L120" s="1" t="s">
        <v>163</v>
      </c>
      <c r="O120" s="1" t="s">
        <v>450</v>
      </c>
      <c r="R120" s="1" t="s">
        <v>450</v>
      </c>
      <c r="S120" s="1" t="s">
        <v>681</v>
      </c>
      <c r="T120" s="1" t="s">
        <v>699</v>
      </c>
      <c r="V120" s="1" t="s">
        <v>701</v>
      </c>
      <c r="W120" s="1" t="s">
        <v>702</v>
      </c>
    </row>
    <row r="121" s="14" customFormat="true" ht="15" hidden="false" customHeight="true" outlineLevel="0" collapsed="false">
      <c r="A121" s="13" t="str">
        <f aca="false">+K121</f>
        <v>Factor 4</v>
      </c>
      <c r="B121" s="13" t="str">
        <f aca="false">IF(IFERROR(HLOOKUP(B$2,$M$2:$BL121,$J121,FALSE()),"")="","",IFERROR(HLOOKUP(B$2,$M$2:$BL121,$J121,FALSE()),""))</f>
        <v/>
      </c>
      <c r="C121" s="13" t="str">
        <f aca="false">IF(IFERROR(HLOOKUP(C$2,$M$2:$BL121,$J121,FALSE()),"")="","",IFERROR(HLOOKUP(C$2,$M$2:$BL121,$J121,FALSE()),""))</f>
        <v/>
      </c>
      <c r="D121" s="13" t="str">
        <f aca="false">IF(IFERROR(HLOOKUP(D$2,$M$2:$BL121,$J121,FALSE()),"")="","",IFERROR(HLOOKUP(D$2,$M$2:$BL121,$J121,FALSE()),""))</f>
        <v/>
      </c>
      <c r="E121" s="13" t="str">
        <f aca="false">IF(IFERROR(HLOOKUP(E$2,$M$2:$BL121,$J121,FALSE()),"")="","",IFERROR(HLOOKUP(E$2,$M$2:$BL121,$J121,FALSE()),""))</f>
        <v/>
      </c>
      <c r="F121" s="13" t="str">
        <f aca="false">IF(IFERROR(HLOOKUP(F$2,$M$2:$BL121,$J121,FALSE()),"")="","",IFERROR(HLOOKUP(F$2,$M$2:$BL121,$J121,FALSE()),""))</f>
        <v/>
      </c>
      <c r="G121" s="13" t="str">
        <f aca="false">IF(IFERROR(HLOOKUP(G$2,$M$2:$BL121,$J121,FALSE()),"")="","",IFERROR(HLOOKUP(G$2,$M$2:$BL121,$J121,FALSE()),""))</f>
        <v/>
      </c>
      <c r="H121" s="13"/>
      <c r="J121" s="15" t="n">
        <f aca="false">+J120+1</f>
        <v>120</v>
      </c>
      <c r="K121" s="14" t="s">
        <v>275</v>
      </c>
      <c r="S121" s="14" t="s">
        <v>649</v>
      </c>
      <c r="T121" s="14" t="s">
        <v>687</v>
      </c>
      <c r="V121" s="14" t="s">
        <v>703</v>
      </c>
    </row>
    <row r="122" customFormat="false" ht="15" hidden="false" customHeight="true" outlineLevel="0" collapsed="false">
      <c r="A122" s="1" t="str">
        <f aca="false">+L122</f>
        <v>AA and above</v>
      </c>
      <c r="B122" s="1" t="str">
        <f aca="false">IF(IFERROR(HLOOKUP(B$2,$M$2:$BL122,$J122,FALSE()),"")="","",IFERROR(HLOOKUP(B$2,$M$2:$BL122,$J122,FALSE()),""))</f>
        <v/>
      </c>
      <c r="C122" s="1" t="str">
        <f aca="false">IF(IFERROR(HLOOKUP(C$2,$M$2:$BL122,$J122,FALSE()),"")="","",IFERROR(HLOOKUP(C$2,$M$2:$BL122,$J122,FALSE()),""))</f>
        <v/>
      </c>
      <c r="D122" s="1" t="str">
        <f aca="false">IF(IFERROR(HLOOKUP(D$2,$M$2:$BL122,$J122,FALSE()),"")="","",IFERROR(HLOOKUP(D$2,$M$2:$BL122,$J122,FALSE()),""))</f>
        <v/>
      </c>
      <c r="E122" s="1" t="str">
        <f aca="false">IF(IFERROR(HLOOKUP(E$2,$M$2:$BL122,$J122,FALSE()),"")="","",IFERROR(HLOOKUP(E$2,$M$2:$BL122,$J122,FALSE()),""))</f>
        <v/>
      </c>
      <c r="F122" s="1" t="str">
        <f aca="false">IF(IFERROR(HLOOKUP(F$2,$M$2:$BL122,$J122,FALSE()),"")="","",IFERROR(HLOOKUP(F$2,$M$2:$BL122,$J122,FALSE()),""))</f>
        <v/>
      </c>
      <c r="G122" s="1" t="str">
        <f aca="false">IF(IFERROR(HLOOKUP(G$2,$M$2:$BL122,$J122,FALSE()),"")="","",IFERROR(HLOOKUP(G$2,$M$2:$BL122,$J122,FALSE()),""))</f>
        <v/>
      </c>
      <c r="J122" s="5" t="n">
        <f aca="false">+J121+1</f>
        <v>121</v>
      </c>
      <c r="L122" s="1" t="s">
        <v>30</v>
      </c>
      <c r="S122" s="1" t="s">
        <v>411</v>
      </c>
      <c r="T122" s="1" t="s">
        <v>192</v>
      </c>
      <c r="V122" s="1" t="s">
        <v>103</v>
      </c>
    </row>
    <row r="123" customFormat="false" ht="15" hidden="false" customHeight="true" outlineLevel="0" collapsed="false">
      <c r="A123" s="1" t="str">
        <f aca="false">+L123</f>
        <v>A</v>
      </c>
      <c r="B123" s="1" t="str">
        <f aca="false">IF(IFERROR(HLOOKUP(B$2,$M$2:$BL123,$J123,FALSE()),"")="","",IFERROR(HLOOKUP(B$2,$M$2:$BL123,$J123,FALSE()),""))</f>
        <v/>
      </c>
      <c r="C123" s="1" t="str">
        <f aca="false">IF(IFERROR(HLOOKUP(C$2,$M$2:$BL123,$J123,FALSE()),"")="","",IFERROR(HLOOKUP(C$2,$M$2:$BL123,$J123,FALSE()),""))</f>
        <v/>
      </c>
      <c r="D123" s="1" t="str">
        <f aca="false">IF(IFERROR(HLOOKUP(D$2,$M$2:$BL123,$J123,FALSE()),"")="","",IFERROR(HLOOKUP(D$2,$M$2:$BL123,$J123,FALSE()),""))</f>
        <v/>
      </c>
      <c r="E123" s="1" t="str">
        <f aca="false">IF(IFERROR(HLOOKUP(E$2,$M$2:$BL123,$J123,FALSE()),"")="","",IFERROR(HLOOKUP(E$2,$M$2:$BL123,$J123,FALSE()),""))</f>
        <v/>
      </c>
      <c r="F123" s="1" t="str">
        <f aca="false">IF(IFERROR(HLOOKUP(F$2,$M$2:$BL123,$J123,FALSE()),"")="","",IFERROR(HLOOKUP(F$2,$M$2:$BL123,$J123,FALSE()),""))</f>
        <v/>
      </c>
      <c r="G123" s="1" t="str">
        <f aca="false">IF(IFERROR(HLOOKUP(G$2,$M$2:$BL123,$J123,FALSE()),"")="","",IFERROR(HLOOKUP(G$2,$M$2:$BL123,$J123,FALSE()),""))</f>
        <v/>
      </c>
      <c r="J123" s="5" t="n">
        <f aca="false">+J122+1</f>
        <v>122</v>
      </c>
      <c r="L123" s="1" t="s">
        <v>63</v>
      </c>
      <c r="S123" s="1" t="s">
        <v>260</v>
      </c>
      <c r="T123" s="1" t="s">
        <v>621</v>
      </c>
      <c r="V123" s="17" t="s">
        <v>704</v>
      </c>
    </row>
    <row r="124" customFormat="false" ht="15" hidden="false" customHeight="true" outlineLevel="0" collapsed="false">
      <c r="A124" s="1" t="str">
        <f aca="false">+L124</f>
        <v>BBB</v>
      </c>
      <c r="B124" s="1" t="str">
        <f aca="false">IF(IFERROR(HLOOKUP(B$2,$M$2:$BL124,$J124,FALSE()),"")="","",IFERROR(HLOOKUP(B$2,$M$2:$BL124,$J124,FALSE()),""))</f>
        <v/>
      </c>
      <c r="C124" s="1" t="str">
        <f aca="false">IF(IFERROR(HLOOKUP(C$2,$M$2:$BL124,$J124,FALSE()),"")="","",IFERROR(HLOOKUP(C$2,$M$2:$BL124,$J124,FALSE()),""))</f>
        <v/>
      </c>
      <c r="D124" s="1" t="str">
        <f aca="false">IF(IFERROR(HLOOKUP(D$2,$M$2:$BL124,$J124,FALSE()),"")="","",IFERROR(HLOOKUP(D$2,$M$2:$BL124,$J124,FALSE()),""))</f>
        <v/>
      </c>
      <c r="E124" s="1" t="str">
        <f aca="false">IF(IFERROR(HLOOKUP(E$2,$M$2:$BL124,$J124,FALSE()),"")="","",IFERROR(HLOOKUP(E$2,$M$2:$BL124,$J124,FALSE()),""))</f>
        <v/>
      </c>
      <c r="F124" s="1" t="str">
        <f aca="false">IF(IFERROR(HLOOKUP(F$2,$M$2:$BL124,$J124,FALSE()),"")="","",IFERROR(HLOOKUP(F$2,$M$2:$BL124,$J124,FALSE()),""))</f>
        <v/>
      </c>
      <c r="G124" s="1" t="str">
        <f aca="false">IF(IFERROR(HLOOKUP(G$2,$M$2:$BL124,$J124,FALSE()),"")="","",IFERROR(HLOOKUP(G$2,$M$2:$BL124,$J124,FALSE()),""))</f>
        <v/>
      </c>
      <c r="J124" s="5" t="n">
        <f aca="false">+J123+1</f>
        <v>123</v>
      </c>
      <c r="L124" s="1" t="s">
        <v>72</v>
      </c>
      <c r="S124" s="1" t="s">
        <v>266</v>
      </c>
      <c r="T124" s="1" t="s">
        <v>482</v>
      </c>
      <c r="V124" s="17" t="s">
        <v>704</v>
      </c>
    </row>
    <row r="125" customFormat="false" ht="15" hidden="false" customHeight="true" outlineLevel="0" collapsed="false">
      <c r="A125" s="1" t="str">
        <f aca="false">+L125</f>
        <v>BB</v>
      </c>
      <c r="B125" s="1" t="str">
        <f aca="false">IF(IFERROR(HLOOKUP(B$2,$M$2:$BL125,$J125,FALSE()),"")="","",IFERROR(HLOOKUP(B$2,$M$2:$BL125,$J125,FALSE()),""))</f>
        <v/>
      </c>
      <c r="C125" s="1" t="str">
        <f aca="false">IF(IFERROR(HLOOKUP(C$2,$M$2:$BL125,$J125,FALSE()),"")="","",IFERROR(HLOOKUP(C$2,$M$2:$BL125,$J125,FALSE()),""))</f>
        <v/>
      </c>
      <c r="D125" s="1" t="str">
        <f aca="false">IF(IFERROR(HLOOKUP(D$2,$M$2:$BL125,$J125,FALSE()),"")="","",IFERROR(HLOOKUP(D$2,$M$2:$BL125,$J125,FALSE()),""))</f>
        <v/>
      </c>
      <c r="E125" s="1" t="str">
        <f aca="false">IF(IFERROR(HLOOKUP(E$2,$M$2:$BL125,$J125,FALSE()),"")="","",IFERROR(HLOOKUP(E$2,$M$2:$BL125,$J125,FALSE()),""))</f>
        <v/>
      </c>
      <c r="F125" s="1" t="str">
        <f aca="false">IF(IFERROR(HLOOKUP(F$2,$M$2:$BL125,$J125,FALSE()),"")="","",IFERROR(HLOOKUP(F$2,$M$2:$BL125,$J125,FALSE()),""))</f>
        <v/>
      </c>
      <c r="G125" s="1" t="str">
        <f aca="false">IF(IFERROR(HLOOKUP(G$2,$M$2:$BL125,$J125,FALSE()),"")="","",IFERROR(HLOOKUP(G$2,$M$2:$BL125,$J125,FALSE()),""))</f>
        <v/>
      </c>
      <c r="J125" s="5" t="n">
        <f aca="false">+J124+1</f>
        <v>124</v>
      </c>
      <c r="L125" s="1" t="s">
        <v>94</v>
      </c>
      <c r="S125" s="1" t="s">
        <v>439</v>
      </c>
      <c r="T125" s="1" t="s">
        <v>490</v>
      </c>
      <c r="V125" s="19" t="s">
        <v>705</v>
      </c>
    </row>
    <row r="126" customFormat="false" ht="15" hidden="false" customHeight="true" outlineLevel="0" collapsed="false">
      <c r="A126" s="1" t="str">
        <f aca="false">+L126</f>
        <v>B</v>
      </c>
      <c r="B126" s="1" t="str">
        <f aca="false">IF(IFERROR(HLOOKUP(B$2,$M$2:$BL126,$J126,FALSE()),"")="","",IFERROR(HLOOKUP(B$2,$M$2:$BL126,$J126,FALSE()),""))</f>
        <v/>
      </c>
      <c r="C126" s="1" t="str">
        <f aca="false">IF(IFERROR(HLOOKUP(C$2,$M$2:$BL126,$J126,FALSE()),"")="","",IFERROR(HLOOKUP(C$2,$M$2:$BL126,$J126,FALSE()),""))</f>
        <v/>
      </c>
      <c r="D126" s="1" t="str">
        <f aca="false">IF(IFERROR(HLOOKUP(D$2,$M$2:$BL126,$J126,FALSE()),"")="","",IFERROR(HLOOKUP(D$2,$M$2:$BL126,$J126,FALSE()),""))</f>
        <v/>
      </c>
      <c r="E126" s="1" t="str">
        <f aca="false">IF(IFERROR(HLOOKUP(E$2,$M$2:$BL126,$J126,FALSE()),"")="","",IFERROR(HLOOKUP(E$2,$M$2:$BL126,$J126,FALSE()),""))</f>
        <v/>
      </c>
      <c r="F126" s="1" t="str">
        <f aca="false">IF(IFERROR(HLOOKUP(F$2,$M$2:$BL126,$J126,FALSE()),"")="","",IFERROR(HLOOKUP(F$2,$M$2:$BL126,$J126,FALSE()),""))</f>
        <v/>
      </c>
      <c r="G126" s="1" t="str">
        <f aca="false">IF(IFERROR(HLOOKUP(G$2,$M$2:$BL126,$J126,FALSE()),"")="","",IFERROR(HLOOKUP(G$2,$M$2:$BL126,$J126,FALSE()),""))</f>
        <v/>
      </c>
      <c r="J126" s="5" t="n">
        <f aca="false">+J125+1</f>
        <v>125</v>
      </c>
      <c r="L126" s="1" t="s">
        <v>136</v>
      </c>
      <c r="S126" s="1" t="s">
        <v>675</v>
      </c>
      <c r="T126" s="1" t="s">
        <v>503</v>
      </c>
      <c r="V126" s="19" t="s">
        <v>705</v>
      </c>
    </row>
    <row r="127" customFormat="false" ht="15" hidden="false" customHeight="true" outlineLevel="0" collapsed="false">
      <c r="A127" s="1" t="str">
        <f aca="false">+L127</f>
        <v>CCC and below</v>
      </c>
      <c r="B127" s="1" t="str">
        <f aca="false">IF(IFERROR(HLOOKUP(B$2,$M$2:$BL127,$J127,FALSE()),"")="","",IFERROR(HLOOKUP(B$2,$M$2:$BL127,$J127,FALSE()),""))</f>
        <v/>
      </c>
      <c r="C127" s="1" t="str">
        <f aca="false">IF(IFERROR(HLOOKUP(C$2,$M$2:$BL127,$J127,FALSE()),"")="","",IFERROR(HLOOKUP(C$2,$M$2:$BL127,$J127,FALSE()),""))</f>
        <v/>
      </c>
      <c r="D127" s="1" t="str">
        <f aca="false">IF(IFERROR(HLOOKUP(D$2,$M$2:$BL127,$J127,FALSE()),"")="","",IFERROR(HLOOKUP(D$2,$M$2:$BL127,$J127,FALSE()),""))</f>
        <v/>
      </c>
      <c r="E127" s="1" t="str">
        <f aca="false">IF(IFERROR(HLOOKUP(E$2,$M$2:$BL127,$J127,FALSE()),"")="","",IFERROR(HLOOKUP(E$2,$M$2:$BL127,$J127,FALSE()),""))</f>
        <v/>
      </c>
      <c r="F127" s="1" t="str">
        <f aca="false">IF(IFERROR(HLOOKUP(F$2,$M$2:$BL127,$J127,FALSE()),"")="","",IFERROR(HLOOKUP(F$2,$M$2:$BL127,$J127,FALSE()),""))</f>
        <v/>
      </c>
      <c r="G127" s="1" t="str">
        <f aca="false">IF(IFERROR(HLOOKUP(G$2,$M$2:$BL127,$J127,FALSE()),"")="","",IFERROR(HLOOKUP(G$2,$M$2:$BL127,$J127,FALSE()),""))</f>
        <v/>
      </c>
      <c r="J127" s="5" t="n">
        <f aca="false">+J126+1</f>
        <v>126</v>
      </c>
      <c r="L127" s="1" t="s">
        <v>163</v>
      </c>
      <c r="S127" s="1" t="s">
        <v>648</v>
      </c>
      <c r="T127" s="1" t="s">
        <v>702</v>
      </c>
      <c r="V127" s="1" t="s">
        <v>706</v>
      </c>
    </row>
    <row r="128" s="14" customFormat="true" ht="15" hidden="false" customHeight="true" outlineLevel="0" collapsed="false">
      <c r="A128" s="13" t="str">
        <f aca="false">+K128</f>
        <v>Factor 5</v>
      </c>
      <c r="B128" s="13" t="str">
        <f aca="false">IF(IFERROR(HLOOKUP(B$2,$M$2:$BL128,$J128,FALSE()),"")="","",IFERROR(HLOOKUP(B$2,$M$2:$BL128,$J128,FALSE()),""))</f>
        <v/>
      </c>
      <c r="C128" s="13" t="str">
        <f aca="false">IF(IFERROR(HLOOKUP(C$2,$M$2:$BL128,$J128,FALSE()),"")="","",IFERROR(HLOOKUP(C$2,$M$2:$BL128,$J128,FALSE()),""))</f>
        <v/>
      </c>
      <c r="D128" s="13" t="str">
        <f aca="false">IF(IFERROR(HLOOKUP(D$2,$M$2:$BL128,$J128,FALSE()),"")="","",IFERROR(HLOOKUP(D$2,$M$2:$BL128,$J128,FALSE()),""))</f>
        <v/>
      </c>
      <c r="E128" s="13" t="str">
        <f aca="false">IF(IFERROR(HLOOKUP(E$2,$M$2:$BL128,$J128,FALSE()),"")="","",IFERROR(HLOOKUP(E$2,$M$2:$BL128,$J128,FALSE()),""))</f>
        <v/>
      </c>
      <c r="F128" s="13" t="str">
        <f aca="false">IF(IFERROR(HLOOKUP(F$2,$M$2:$BL128,$J128,FALSE()),"")="","",IFERROR(HLOOKUP(F$2,$M$2:$BL128,$J128,FALSE()),""))</f>
        <v/>
      </c>
      <c r="G128" s="13" t="str">
        <f aca="false">IF(IFERROR(HLOOKUP(G$2,$M$2:$BL128,$J128,FALSE()),"")="","",IFERROR(HLOOKUP(G$2,$M$2:$BL128,$J128,FALSE()),""))</f>
        <v/>
      </c>
      <c r="H128" s="13"/>
      <c r="J128" s="15" t="n">
        <f aca="false">+J127+1</f>
        <v>127</v>
      </c>
      <c r="K128" s="14" t="s">
        <v>298</v>
      </c>
      <c r="T128" s="14" t="s">
        <v>707</v>
      </c>
    </row>
    <row r="129" customFormat="false" ht="15" hidden="false" customHeight="true" outlineLevel="0" collapsed="false">
      <c r="A129" s="1" t="str">
        <f aca="false">+L129</f>
        <v>AA and above</v>
      </c>
      <c r="B129" s="1" t="str">
        <f aca="false">IF(IFERROR(HLOOKUP(B$2,$M$2:$BL129,$J129,FALSE()),"")="","",IFERROR(HLOOKUP(B$2,$M$2:$BL129,$J129,FALSE()),""))</f>
        <v/>
      </c>
      <c r="C129" s="1" t="str">
        <f aca="false">IF(IFERROR(HLOOKUP(C$2,$M$2:$BL129,$J129,FALSE()),"")="","",IFERROR(HLOOKUP(C$2,$M$2:$BL129,$J129,FALSE()),""))</f>
        <v/>
      </c>
      <c r="D129" s="1" t="str">
        <f aca="false">IF(IFERROR(HLOOKUP(D$2,$M$2:$BL129,$J129,FALSE()),"")="","",IFERROR(HLOOKUP(D$2,$M$2:$BL129,$J129,FALSE()),""))</f>
        <v/>
      </c>
      <c r="E129" s="1" t="str">
        <f aca="false">IF(IFERROR(HLOOKUP(E$2,$M$2:$BL129,$J129,FALSE()),"")="","",IFERROR(HLOOKUP(E$2,$M$2:$BL129,$J129,FALSE()),""))</f>
        <v/>
      </c>
      <c r="F129" s="1" t="str">
        <f aca="false">IF(IFERROR(HLOOKUP(F$2,$M$2:$BL129,$J129,FALSE()),"")="","",IFERROR(HLOOKUP(F$2,$M$2:$BL129,$J129,FALSE()),""))</f>
        <v/>
      </c>
      <c r="G129" s="1" t="str">
        <f aca="false">IF(IFERROR(HLOOKUP(G$2,$M$2:$BL129,$J129,FALSE()),"")="","",IFERROR(HLOOKUP(G$2,$M$2:$BL129,$J129,FALSE()),""))</f>
        <v/>
      </c>
      <c r="J129" s="5" t="n">
        <f aca="false">+J128+1</f>
        <v>128</v>
      </c>
      <c r="L129" s="1" t="s">
        <v>30</v>
      </c>
      <c r="T129" s="17" t="s">
        <v>708</v>
      </c>
    </row>
    <row r="130" customFormat="false" ht="15" hidden="false" customHeight="true" outlineLevel="0" collapsed="false">
      <c r="A130" s="1" t="str">
        <f aca="false">+L130</f>
        <v>A</v>
      </c>
      <c r="B130" s="1" t="str">
        <f aca="false">IF(IFERROR(HLOOKUP(B$2,$M$2:$BL130,$J130,FALSE()),"")="","",IFERROR(HLOOKUP(B$2,$M$2:$BL130,$J130,FALSE()),""))</f>
        <v/>
      </c>
      <c r="C130" s="1" t="str">
        <f aca="false">IF(IFERROR(HLOOKUP(C$2,$M$2:$BL130,$J130,FALSE()),"")="","",IFERROR(HLOOKUP(C$2,$M$2:$BL130,$J130,FALSE()),""))</f>
        <v/>
      </c>
      <c r="D130" s="1" t="str">
        <f aca="false">IF(IFERROR(HLOOKUP(D$2,$M$2:$BL130,$J130,FALSE()),"")="","",IFERROR(HLOOKUP(D$2,$M$2:$BL130,$J130,FALSE()),""))</f>
        <v/>
      </c>
      <c r="E130" s="1" t="str">
        <f aca="false">IF(IFERROR(HLOOKUP(E$2,$M$2:$BL130,$J130,FALSE()),"")="","",IFERROR(HLOOKUP(E$2,$M$2:$BL130,$J130,FALSE()),""))</f>
        <v/>
      </c>
      <c r="F130" s="1" t="str">
        <f aca="false">IF(IFERROR(HLOOKUP(F$2,$M$2:$BL130,$J130,FALSE()),"")="","",IFERROR(HLOOKUP(F$2,$M$2:$BL130,$J130,FALSE()),""))</f>
        <v/>
      </c>
      <c r="G130" s="1" t="str">
        <f aca="false">IF(IFERROR(HLOOKUP(G$2,$M$2:$BL130,$J130,FALSE()),"")="","",IFERROR(HLOOKUP(G$2,$M$2:$BL130,$J130,FALSE()),""))</f>
        <v/>
      </c>
      <c r="J130" s="5" t="n">
        <f aca="false">+J129+1</f>
        <v>129</v>
      </c>
      <c r="L130" s="1" t="s">
        <v>63</v>
      </c>
      <c r="T130" s="17" t="s">
        <v>708</v>
      </c>
    </row>
    <row r="131" customFormat="false" ht="15" hidden="false" customHeight="true" outlineLevel="0" collapsed="false">
      <c r="A131" s="1" t="str">
        <f aca="false">+L131</f>
        <v>BBB</v>
      </c>
      <c r="B131" s="1" t="str">
        <f aca="false">IF(IFERROR(HLOOKUP(B$2,$M$2:$BL131,$J131,FALSE()),"")="","",IFERROR(HLOOKUP(B$2,$M$2:$BL131,$J131,FALSE()),""))</f>
        <v/>
      </c>
      <c r="C131" s="1" t="str">
        <f aca="false">IF(IFERROR(HLOOKUP(C$2,$M$2:$BL131,$J131,FALSE()),"")="","",IFERROR(HLOOKUP(C$2,$M$2:$BL131,$J131,FALSE()),""))</f>
        <v/>
      </c>
      <c r="D131" s="1" t="str">
        <f aca="false">IF(IFERROR(HLOOKUP(D$2,$M$2:$BL131,$J131,FALSE()),"")="","",IFERROR(HLOOKUP(D$2,$M$2:$BL131,$J131,FALSE()),""))</f>
        <v/>
      </c>
      <c r="E131" s="1" t="str">
        <f aca="false">IF(IFERROR(HLOOKUP(E$2,$M$2:$BL131,$J131,FALSE()),"")="","",IFERROR(HLOOKUP(E$2,$M$2:$BL131,$J131,FALSE()),""))</f>
        <v/>
      </c>
      <c r="F131" s="1" t="str">
        <f aca="false">IF(IFERROR(HLOOKUP(F$2,$M$2:$BL131,$J131,FALSE()),"")="","",IFERROR(HLOOKUP(F$2,$M$2:$BL131,$J131,FALSE()),""))</f>
        <v/>
      </c>
      <c r="G131" s="1" t="str">
        <f aca="false">IF(IFERROR(HLOOKUP(G$2,$M$2:$BL131,$J131,FALSE()),"")="","",IFERROR(HLOOKUP(G$2,$M$2:$BL131,$J131,FALSE()),""))</f>
        <v/>
      </c>
      <c r="J131" s="5" t="n">
        <f aca="false">+J130+1</f>
        <v>130</v>
      </c>
      <c r="L131" s="1" t="s">
        <v>72</v>
      </c>
      <c r="T131" s="17" t="s">
        <v>708</v>
      </c>
    </row>
    <row r="132" customFormat="false" ht="15" hidden="false" customHeight="true" outlineLevel="0" collapsed="false">
      <c r="A132" s="1" t="str">
        <f aca="false">+L132</f>
        <v>BB</v>
      </c>
      <c r="B132" s="1" t="str">
        <f aca="false">IF(IFERROR(HLOOKUP(B$2,$M$2:$BL132,$J132,FALSE()),"")="","",IFERROR(HLOOKUP(B$2,$M$2:$BL132,$J132,FALSE()),""))</f>
        <v/>
      </c>
      <c r="C132" s="1" t="str">
        <f aca="false">IF(IFERROR(HLOOKUP(C$2,$M$2:$BL132,$J132,FALSE()),"")="","",IFERROR(HLOOKUP(C$2,$M$2:$BL132,$J132,FALSE()),""))</f>
        <v/>
      </c>
      <c r="D132" s="1" t="str">
        <f aca="false">IF(IFERROR(HLOOKUP(D$2,$M$2:$BL132,$J132,FALSE()),"")="","",IFERROR(HLOOKUP(D$2,$M$2:$BL132,$J132,FALSE()),""))</f>
        <v/>
      </c>
      <c r="E132" s="1" t="str">
        <f aca="false">IF(IFERROR(HLOOKUP(E$2,$M$2:$BL132,$J132,FALSE()),"")="","",IFERROR(HLOOKUP(E$2,$M$2:$BL132,$J132,FALSE()),""))</f>
        <v/>
      </c>
      <c r="F132" s="1" t="str">
        <f aca="false">IF(IFERROR(HLOOKUP(F$2,$M$2:$BL132,$J132,FALSE()),"")="","",IFERROR(HLOOKUP(F$2,$M$2:$BL132,$J132,FALSE()),""))</f>
        <v/>
      </c>
      <c r="G132" s="1" t="str">
        <f aca="false">IF(IFERROR(HLOOKUP(G$2,$M$2:$BL132,$J132,FALSE()),"")="","",IFERROR(HLOOKUP(G$2,$M$2:$BL132,$J132,FALSE()),""))</f>
        <v/>
      </c>
      <c r="J132" s="5" t="n">
        <f aca="false">+J131+1</f>
        <v>131</v>
      </c>
      <c r="L132" s="1" t="s">
        <v>94</v>
      </c>
      <c r="T132" s="17" t="s">
        <v>709</v>
      </c>
    </row>
    <row r="133" customFormat="false" ht="15" hidden="false" customHeight="true" outlineLevel="0" collapsed="false">
      <c r="A133" s="1" t="str">
        <f aca="false">+L133</f>
        <v>B</v>
      </c>
      <c r="B133" s="1" t="str">
        <f aca="false">IF(IFERROR(HLOOKUP(B$2,$M$2:$BL133,$J133,FALSE()),"")="","",IFERROR(HLOOKUP(B$2,$M$2:$BL133,$J133,FALSE()),""))</f>
        <v/>
      </c>
      <c r="C133" s="1" t="str">
        <f aca="false">IF(IFERROR(HLOOKUP(C$2,$M$2:$BL133,$J133,FALSE()),"")="","",IFERROR(HLOOKUP(C$2,$M$2:$BL133,$J133,FALSE()),""))</f>
        <v/>
      </c>
      <c r="D133" s="1" t="str">
        <f aca="false">IF(IFERROR(HLOOKUP(D$2,$M$2:$BL133,$J133,FALSE()),"")="","",IFERROR(HLOOKUP(D$2,$M$2:$BL133,$J133,FALSE()),""))</f>
        <v/>
      </c>
      <c r="E133" s="1" t="str">
        <f aca="false">IF(IFERROR(HLOOKUP(E$2,$M$2:$BL133,$J133,FALSE()),"")="","",IFERROR(HLOOKUP(E$2,$M$2:$BL133,$J133,FALSE()),""))</f>
        <v/>
      </c>
      <c r="F133" s="1" t="str">
        <f aca="false">IF(IFERROR(HLOOKUP(F$2,$M$2:$BL133,$J133,FALSE()),"")="","",IFERROR(HLOOKUP(F$2,$M$2:$BL133,$J133,FALSE()),""))</f>
        <v/>
      </c>
      <c r="G133" s="1" t="str">
        <f aca="false">IF(IFERROR(HLOOKUP(G$2,$M$2:$BL133,$J133,FALSE()),"")="","",IFERROR(HLOOKUP(G$2,$M$2:$BL133,$J133,FALSE()),""))</f>
        <v/>
      </c>
      <c r="J133" s="5" t="n">
        <f aca="false">+J132+1</f>
        <v>132</v>
      </c>
      <c r="L133" s="1" t="s">
        <v>136</v>
      </c>
      <c r="T133" s="17" t="s">
        <v>709</v>
      </c>
    </row>
    <row r="134" customFormat="false" ht="15" hidden="false" customHeight="true" outlineLevel="0" collapsed="false">
      <c r="A134" s="1" t="str">
        <f aca="false">+L134</f>
        <v>CCC and below</v>
      </c>
      <c r="B134" s="1" t="str">
        <f aca="false">IF(IFERROR(HLOOKUP(B$2,$M$2:$BL134,$J134,FALSE()),"")="","",IFERROR(HLOOKUP(B$2,$M$2:$BL134,$J134,FALSE()),""))</f>
        <v/>
      </c>
      <c r="C134" s="1" t="str">
        <f aca="false">IF(IFERROR(HLOOKUP(C$2,$M$2:$BL134,$J134,FALSE()),"")="","",IFERROR(HLOOKUP(C$2,$M$2:$BL134,$J134,FALSE()),""))</f>
        <v/>
      </c>
      <c r="D134" s="1" t="str">
        <f aca="false">IF(IFERROR(HLOOKUP(D$2,$M$2:$BL134,$J134,FALSE()),"")="","",IFERROR(HLOOKUP(D$2,$M$2:$BL134,$J134,FALSE()),""))</f>
        <v/>
      </c>
      <c r="E134" s="1" t="str">
        <f aca="false">IF(IFERROR(HLOOKUP(E$2,$M$2:$BL134,$J134,FALSE()),"")="","",IFERROR(HLOOKUP(E$2,$M$2:$BL134,$J134,FALSE()),""))</f>
        <v/>
      </c>
      <c r="F134" s="1" t="str">
        <f aca="false">IF(IFERROR(HLOOKUP(F$2,$M$2:$BL134,$J134,FALSE()),"")="","",IFERROR(HLOOKUP(F$2,$M$2:$BL134,$J134,FALSE()),""))</f>
        <v/>
      </c>
      <c r="G134" s="1" t="str">
        <f aca="false">IF(IFERROR(HLOOKUP(G$2,$M$2:$BL134,$J134,FALSE()),"")="","",IFERROR(HLOOKUP(G$2,$M$2:$BL134,$J134,FALSE()),""))</f>
        <v/>
      </c>
      <c r="J134" s="5" t="n">
        <f aca="false">+J133+1</f>
        <v>133</v>
      </c>
      <c r="L134" s="1" t="s">
        <v>163</v>
      </c>
      <c r="T134" s="17" t="s">
        <v>709</v>
      </c>
    </row>
    <row r="135" customFormat="false" ht="11.25" hidden="false" customHeight="false" outlineLevel="0" collapsed="false">
      <c r="J135" s="5" t="n">
        <f aca="false">+J134+1</f>
        <v>134</v>
      </c>
    </row>
    <row r="136" customFormat="false" ht="11.25" hidden="false" customHeight="false" outlineLevel="0" collapsed="false">
      <c r="B136" s="14" t="s">
        <v>710</v>
      </c>
      <c r="C136" s="14" t="s">
        <v>711</v>
      </c>
      <c r="D136" s="14" t="s">
        <v>712</v>
      </c>
      <c r="E136" s="14" t="s">
        <v>713</v>
      </c>
      <c r="F136" s="14" t="s">
        <v>714</v>
      </c>
      <c r="G136" s="14" t="s">
        <v>715</v>
      </c>
      <c r="H136" s="14"/>
      <c r="J136" s="5" t="n">
        <f aca="false">+J135+1</f>
        <v>135</v>
      </c>
    </row>
    <row r="137" customFormat="false" ht="11.25" hidden="false" customHeight="false" outlineLevel="0" collapsed="false">
      <c r="B137" s="14" t="s">
        <v>716</v>
      </c>
      <c r="C137" s="14" t="s">
        <v>717</v>
      </c>
      <c r="D137" s="14" t="s">
        <v>718</v>
      </c>
      <c r="E137" s="14" t="s">
        <v>719</v>
      </c>
      <c r="F137" s="14" t="s">
        <v>720</v>
      </c>
      <c r="G137" s="14" t="s">
        <v>721</v>
      </c>
      <c r="H137" s="14"/>
      <c r="J137" s="5" t="n">
        <f aca="false">+J136+1</f>
        <v>136</v>
      </c>
    </row>
    <row r="138" customFormat="false" ht="11.25" hidden="false" customHeight="false" outlineLevel="0" collapsed="false">
      <c r="B138" s="14" t="s">
        <v>722</v>
      </c>
      <c r="C138" s="14" t="s">
        <v>723</v>
      </c>
      <c r="D138" s="14" t="s">
        <v>724</v>
      </c>
      <c r="E138" s="14" t="s">
        <v>725</v>
      </c>
      <c r="F138" s="14" t="s">
        <v>726</v>
      </c>
      <c r="G138" s="14" t="s">
        <v>727</v>
      </c>
      <c r="H138" s="14"/>
      <c r="J138" s="5" t="n">
        <f aca="false">+J137+1</f>
        <v>137</v>
      </c>
    </row>
    <row r="139" customFormat="false" ht="11.25" hidden="false" customHeight="false" outlineLevel="0" collapsed="false">
      <c r="B139" s="14" t="s">
        <v>728</v>
      </c>
      <c r="C139" s="14" t="s">
        <v>729</v>
      </c>
      <c r="D139" s="14" t="s">
        <v>730</v>
      </c>
      <c r="E139" s="14" t="s">
        <v>731</v>
      </c>
      <c r="F139" s="14" t="s">
        <v>732</v>
      </c>
      <c r="G139" s="14" t="s">
        <v>733</v>
      </c>
      <c r="H139" s="14"/>
      <c r="J139" s="5" t="n">
        <f aca="false">+J138+1</f>
        <v>138</v>
      </c>
    </row>
    <row r="140" customFormat="false" ht="11.25" hidden="false" customHeight="false" outlineLevel="0" collapsed="false">
      <c r="B140" s="14" t="s">
        <v>734</v>
      </c>
      <c r="C140" s="14" t="s">
        <v>735</v>
      </c>
      <c r="D140" s="14" t="s">
        <v>736</v>
      </c>
      <c r="E140" s="14" t="s">
        <v>737</v>
      </c>
      <c r="F140" s="14" t="s">
        <v>738</v>
      </c>
      <c r="G140" s="14" t="s">
        <v>739</v>
      </c>
      <c r="H140" s="14"/>
      <c r="J140" s="5" t="n">
        <f aca="false">+J139+1</f>
        <v>139</v>
      </c>
    </row>
    <row r="141" customFormat="false" ht="11.25" hidden="false" customHeight="false" outlineLevel="0" collapsed="false">
      <c r="J141" s="1" t="n">
        <f aca="false">+J140+1</f>
        <v>140</v>
      </c>
    </row>
    <row r="142" s="6" customFormat="true" ht="11.25" hidden="false" customHeight="false" outlineLevel="0" collapsed="false">
      <c r="A142" s="3" t="s">
        <v>740</v>
      </c>
      <c r="B142" s="6" t="str">
        <f aca="false">IF(IFERROR(HLOOKUP(B$2,$M$2:$BL142,$J142,FALSE()),"")="","",IFERROR(HLOOKUP(B$2,$M$2:$BL142,$J142,FALSE()),""))</f>
        <v>Brand strenght</v>
      </c>
      <c r="C142" s="6" t="str">
        <f aca="false">IF(IFERROR(HLOOKUP(C$2,$M$2:$BL142,$J142,FALSE()),"")="","",IFERROR(HLOOKUP(C$2,$M$2:$BL142,$J142,FALSE()),""))</f>
        <v/>
      </c>
      <c r="D142" s="6" t="str">
        <f aca="false">IF(IFERROR(HLOOKUP(D$2,$M$2:$BL142,$J142,FALSE()),"")="","",IFERROR(HLOOKUP(D$2,$M$2:$BL142,$J142,FALSE()),""))</f>
        <v/>
      </c>
      <c r="E142" s="6" t="str">
        <f aca="false">IF(IFERROR(HLOOKUP(E$2,$M$2:$BL142,$J142,FALSE()),"")="","",IFERROR(HLOOKUP(E$2,$M$2:$BL142,$J142,FALSE()),""))</f>
        <v/>
      </c>
      <c r="F142" s="6" t="str">
        <f aca="false">IF(IFERROR(HLOOKUP(F$2,$M$2:$BL142,$J142,FALSE()),"")="","",IFERROR(HLOOKUP(F$2,$M$2:$BL142,$J142,FALSE()),""))</f>
        <v/>
      </c>
      <c r="G142" s="6" t="str">
        <f aca="false">IF(IFERROR(HLOOKUP(G$2,$M$2:$BL142,$J142,FALSE()),"")="","",IFERROR(HLOOKUP(G$2,$M$2:$BL142,$J142,FALSE()),""))</f>
        <v/>
      </c>
      <c r="J142" s="6" t="n">
        <f aca="false">+J141+1</f>
        <v>141</v>
      </c>
      <c r="M142" s="1"/>
      <c r="P142" s="6" t="s">
        <v>741</v>
      </c>
      <c r="Q142" s="6" t="s">
        <v>742</v>
      </c>
      <c r="R142" s="6" t="s">
        <v>743</v>
      </c>
      <c r="S142" s="6" t="s">
        <v>744</v>
      </c>
      <c r="U142" s="6" t="s">
        <v>745</v>
      </c>
      <c r="V142" s="6" t="s">
        <v>746</v>
      </c>
      <c r="Y142" s="6" t="s">
        <v>747</v>
      </c>
    </row>
    <row r="143" s="14" customFormat="true" ht="11.25" hidden="false" customHeight="false" outlineLevel="0" collapsed="false">
      <c r="A143" s="13" t="str">
        <f aca="false">+A100</f>
        <v>Factor 1</v>
      </c>
      <c r="B143" s="13" t="str">
        <f aca="false">IF(IFERROR(HLOOKUP(B$2,$M$2:$BL143,$J143,FALSE()),"")="","",IFERROR(HLOOKUP(B$2,$M$2:$BL143,$J143,FALSE()),""))</f>
        <v>Brand Value and Recognition</v>
      </c>
      <c r="C143" s="13" t="str">
        <f aca="false">IF(IFERROR(HLOOKUP(C$2,$M$2:$BL143,$J143,FALSE()),"")="","",IFERROR(HLOOKUP(C$2,$M$2:$BL143,$J143,FALSE()),""))</f>
        <v/>
      </c>
      <c r="D143" s="13" t="str">
        <f aca="false">IF(IFERROR(HLOOKUP(D$2,$M$2:$BL143,$J143,FALSE()),"")="","",IFERROR(HLOOKUP(D$2,$M$2:$BL143,$J143,FALSE()),""))</f>
        <v/>
      </c>
      <c r="E143" s="13" t="str">
        <f aca="false">IF(IFERROR(HLOOKUP(E$2,$M$2:$BL143,$J143,FALSE()),"")="","",IFERROR(HLOOKUP(E$2,$M$2:$BL143,$J143,FALSE()),""))</f>
        <v/>
      </c>
      <c r="F143" s="13" t="str">
        <f aca="false">IF(IFERROR(HLOOKUP(F$2,$M$2:$BL143,$J143,FALSE()),"")="","",IFERROR(HLOOKUP(F$2,$M$2:$BL143,$J143,FALSE()),""))</f>
        <v/>
      </c>
      <c r="G143" s="13" t="str">
        <f aca="false">IF(IFERROR(HLOOKUP(G$2,$M$2:$BL143,$J143,FALSE()),"")="","",IFERROR(HLOOKUP(G$2,$M$2:$BL143,$J143,FALSE()),""))</f>
        <v/>
      </c>
      <c r="H143" s="13"/>
      <c r="J143" s="14" t="n">
        <f aca="false">+J142+1</f>
        <v>142</v>
      </c>
      <c r="P143" s="14" t="s">
        <v>748</v>
      </c>
      <c r="Q143" s="14" t="s">
        <v>749</v>
      </c>
      <c r="R143" s="14" t="s">
        <v>750</v>
      </c>
      <c r="S143" s="14" t="s">
        <v>751</v>
      </c>
      <c r="U143" s="14" t="s">
        <v>752</v>
      </c>
      <c r="V143" s="14" t="s">
        <v>753</v>
      </c>
      <c r="Y143" s="14" t="s">
        <v>754</v>
      </c>
    </row>
    <row r="144" customFormat="false" ht="11.25" hidden="false" customHeight="false" outlineLevel="0" collapsed="false">
      <c r="A144" s="1" t="str">
        <f aca="false">+A101</f>
        <v>AA and above</v>
      </c>
      <c r="B144" s="1" t="str">
        <f aca="false">IF(IFERROR(HLOOKUP(B$2,$M$2:$BL144,$J144,FALSE()),"")="","",IFERROR(HLOOKUP(B$2,$M$2:$BL144,$J144,FALSE()),""))</f>
        <v>Portfolio of several globally well-known brands with a long tradition </v>
      </c>
      <c r="C144" s="1" t="str">
        <f aca="false">IF(IFERROR(HLOOKUP(C$2,$M$2:$BL144,$J144,FALSE()),"")="","",IFERROR(HLOOKUP(C$2,$M$2:$BL144,$J144,FALSE()),""))</f>
        <v/>
      </c>
      <c r="D144" s="1" t="str">
        <f aca="false">IF(IFERROR(HLOOKUP(D$2,$M$2:$BL144,$J144,FALSE()),"")="","",IFERROR(HLOOKUP(D$2,$M$2:$BL144,$J144,FALSE()),""))</f>
        <v/>
      </c>
      <c r="E144" s="1" t="str">
        <f aca="false">IF(IFERROR(HLOOKUP(E$2,$M$2:$BL144,$J144,FALSE()),"")="","",IFERROR(HLOOKUP(E$2,$M$2:$BL144,$J144,FALSE()),""))</f>
        <v/>
      </c>
      <c r="F144" s="1" t="str">
        <f aca="false">IF(IFERROR(HLOOKUP(F$2,$M$2:$BL144,$J144,FALSE()),"")="","",IFERROR(HLOOKUP(F$2,$M$2:$BL144,$J144,FALSE()),""))</f>
        <v/>
      </c>
      <c r="G144" s="1" t="str">
        <f aca="false">IF(IFERROR(HLOOKUP(G$2,$M$2:$BL144,$J144,FALSE()),"")="","",IFERROR(HLOOKUP(G$2,$M$2:$BL144,$J144,FALSE()),""))</f>
        <v/>
      </c>
      <c r="J144" s="1" t="n">
        <f aca="false">+J143+1</f>
        <v>143</v>
      </c>
      <c r="P144" s="1" t="s">
        <v>755</v>
      </c>
      <c r="Q144" s="1" t="s">
        <v>756</v>
      </c>
      <c r="R144" s="1" t="s">
        <v>757</v>
      </c>
      <c r="S144" s="1" t="s">
        <v>758</v>
      </c>
      <c r="U144" s="1" t="s">
        <v>759</v>
      </c>
      <c r="V144" s="1" t="s">
        <v>103</v>
      </c>
      <c r="Y144" s="1" t="s">
        <v>192</v>
      </c>
    </row>
    <row r="145" customFormat="false" ht="11.25" hidden="false" customHeight="false" outlineLevel="0" collapsed="false">
      <c r="A145" s="1" t="str">
        <f aca="false">+A102</f>
        <v>A</v>
      </c>
      <c r="B145" s="1" t="str">
        <f aca="false">IF(IFERROR(HLOOKUP(B$2,$M$2:$BL145,$J145,FALSE()),"")="","",IFERROR(HLOOKUP(B$2,$M$2:$BL145,$J145,FALSE()),""))</f>
        <v>Global brand and/or portfolio of international and long-established brands</v>
      </c>
      <c r="C145" s="1" t="str">
        <f aca="false">IF(IFERROR(HLOOKUP(C$2,$M$2:$BL145,$J145,FALSE()),"")="","",IFERROR(HLOOKUP(C$2,$M$2:$BL145,$J145,FALSE()),""))</f>
        <v/>
      </c>
      <c r="D145" s="1" t="str">
        <f aca="false">IF(IFERROR(HLOOKUP(D$2,$M$2:$BL145,$J145,FALSE()),"")="","",IFERROR(HLOOKUP(D$2,$M$2:$BL145,$J145,FALSE()),""))</f>
        <v/>
      </c>
      <c r="E145" s="1" t="str">
        <f aca="false">IF(IFERROR(HLOOKUP(E$2,$M$2:$BL145,$J145,FALSE()),"")="","",IFERROR(HLOOKUP(E$2,$M$2:$BL145,$J145,FALSE()),""))</f>
        <v/>
      </c>
      <c r="F145" s="1" t="str">
        <f aca="false">IF(IFERROR(HLOOKUP(F$2,$M$2:$BL145,$J145,FALSE()),"")="","",IFERROR(HLOOKUP(F$2,$M$2:$BL145,$J145,FALSE()),""))</f>
        <v/>
      </c>
      <c r="G145" s="1" t="str">
        <f aca="false">IF(IFERROR(HLOOKUP(G$2,$M$2:$BL145,$J145,FALSE()),"")="","",IFERROR(HLOOKUP(G$2,$M$2:$BL145,$J145,FALSE()),""))</f>
        <v/>
      </c>
      <c r="J145" s="1" t="n">
        <f aca="false">+J144+1</f>
        <v>144</v>
      </c>
      <c r="P145" s="1" t="s">
        <v>760</v>
      </c>
      <c r="Q145" s="1" t="s">
        <v>761</v>
      </c>
      <c r="R145" s="1" t="s">
        <v>757</v>
      </c>
      <c r="S145" s="1" t="s">
        <v>758</v>
      </c>
      <c r="U145" s="1" t="s">
        <v>759</v>
      </c>
      <c r="V145" s="1" t="s">
        <v>762</v>
      </c>
      <c r="Y145" s="1" t="s">
        <v>621</v>
      </c>
    </row>
    <row r="146" customFormat="false" ht="11.25" hidden="false" customHeight="false" outlineLevel="0" collapsed="false">
      <c r="A146" s="1" t="str">
        <f aca="false">+A103</f>
        <v>BBB</v>
      </c>
      <c r="B146" s="1" t="str">
        <f aca="false">IF(IFERROR(HLOOKUP(B$2,$M$2:$BL146,$J146,FALSE()),"")="","",IFERROR(HLOOKUP(B$2,$M$2:$BL146,$J146,FALSE()),""))</f>
        <v>International well-established brands </v>
      </c>
      <c r="C146" s="1" t="str">
        <f aca="false">IF(IFERROR(HLOOKUP(C$2,$M$2:$BL146,$J146,FALSE()),"")="","",IFERROR(HLOOKUP(C$2,$M$2:$BL146,$J146,FALSE()),""))</f>
        <v/>
      </c>
      <c r="D146" s="1" t="str">
        <f aca="false">IF(IFERROR(HLOOKUP(D$2,$M$2:$BL146,$J146,FALSE()),"")="","",IFERROR(HLOOKUP(D$2,$M$2:$BL146,$J146,FALSE()),""))</f>
        <v/>
      </c>
      <c r="E146" s="1" t="str">
        <f aca="false">IF(IFERROR(HLOOKUP(E$2,$M$2:$BL146,$J146,FALSE()),"")="","",IFERROR(HLOOKUP(E$2,$M$2:$BL146,$J146,FALSE()),""))</f>
        <v/>
      </c>
      <c r="F146" s="1" t="str">
        <f aca="false">IF(IFERROR(HLOOKUP(F$2,$M$2:$BL146,$J146,FALSE()),"")="","",IFERROR(HLOOKUP(F$2,$M$2:$BL146,$J146,FALSE()),""))</f>
        <v/>
      </c>
      <c r="G146" s="1" t="str">
        <f aca="false">IF(IFERROR(HLOOKUP(G$2,$M$2:$BL146,$J146,FALSE()),"")="","",IFERROR(HLOOKUP(G$2,$M$2:$BL146,$J146,FALSE()),""))</f>
        <v/>
      </c>
      <c r="J146" s="1" t="n">
        <f aca="false">+J145+1</f>
        <v>145</v>
      </c>
      <c r="P146" s="1" t="s">
        <v>763</v>
      </c>
      <c r="Q146" s="1" t="s">
        <v>764</v>
      </c>
      <c r="R146" s="1" t="s">
        <v>765</v>
      </c>
      <c r="S146" s="1" t="s">
        <v>766</v>
      </c>
      <c r="U146" s="1" t="s">
        <v>266</v>
      </c>
      <c r="V146" s="1" t="s">
        <v>767</v>
      </c>
      <c r="Y146" s="1" t="s">
        <v>482</v>
      </c>
    </row>
    <row r="147" customFormat="false" ht="11.25" hidden="false" customHeight="false" outlineLevel="0" collapsed="false">
      <c r="A147" s="1" t="str">
        <f aca="false">+A104</f>
        <v>BB</v>
      </c>
      <c r="B147" s="1" t="str">
        <f aca="false">IF(IFERROR(HLOOKUP(B$2,$M$2:$BL147,$J147,FALSE()),"")="","",IFERROR(HLOOKUP(B$2,$M$2:$BL147,$J147,FALSE()),""))</f>
        <v>Domestically well-known brands or still developing international brands  </v>
      </c>
      <c r="C147" s="1" t="str">
        <f aca="false">IF(IFERROR(HLOOKUP(C$2,$M$2:$BL147,$J147,FALSE()),"")="","",IFERROR(HLOOKUP(C$2,$M$2:$BL147,$J147,FALSE()),""))</f>
        <v/>
      </c>
      <c r="D147" s="1" t="str">
        <f aca="false">IF(IFERROR(HLOOKUP(D$2,$M$2:$BL147,$J147,FALSE()),"")="","",IFERROR(HLOOKUP(D$2,$M$2:$BL147,$J147,FALSE()),""))</f>
        <v/>
      </c>
      <c r="E147" s="1" t="str">
        <f aca="false">IF(IFERROR(HLOOKUP(E$2,$M$2:$BL147,$J147,FALSE()),"")="","",IFERROR(HLOOKUP(E$2,$M$2:$BL147,$J147,FALSE()),""))</f>
        <v/>
      </c>
      <c r="F147" s="1" t="str">
        <f aca="false">IF(IFERROR(HLOOKUP(F$2,$M$2:$BL147,$J147,FALSE()),"")="","",IFERROR(HLOOKUP(F$2,$M$2:$BL147,$J147,FALSE()),""))</f>
        <v/>
      </c>
      <c r="G147" s="1" t="str">
        <f aca="false">IF(IFERROR(HLOOKUP(G$2,$M$2:$BL147,$J147,FALSE()),"")="","",IFERROR(HLOOKUP(G$2,$M$2:$BL147,$J147,FALSE()),""))</f>
        <v/>
      </c>
      <c r="J147" s="1" t="n">
        <f aca="false">+J146+1</f>
        <v>146</v>
      </c>
      <c r="P147" s="1" t="s">
        <v>768</v>
      </c>
      <c r="Q147" s="1" t="s">
        <v>769</v>
      </c>
      <c r="R147" s="1" t="s">
        <v>770</v>
      </c>
      <c r="S147" s="1" t="s">
        <v>771</v>
      </c>
      <c r="U147" s="1" t="s">
        <v>547</v>
      </c>
      <c r="V147" s="1" t="s">
        <v>772</v>
      </c>
      <c r="Y147" s="1" t="s">
        <v>224</v>
      </c>
    </row>
    <row r="148" customFormat="false" ht="11.25" hidden="false" customHeight="false" outlineLevel="0" collapsed="false">
      <c r="A148" s="1" t="str">
        <f aca="false">+A105</f>
        <v>B</v>
      </c>
      <c r="B148" s="1" t="str">
        <f aca="false">IF(IFERROR(HLOOKUP(B$2,$M$2:$BL148,$J148,FALSE()),"")="","",IFERROR(HLOOKUP(B$2,$M$2:$BL148,$J148,FALSE()),""))</f>
        <v>Domestically known/regionally well-known brands </v>
      </c>
      <c r="C148" s="1" t="str">
        <f aca="false">IF(IFERROR(HLOOKUP(C$2,$M$2:$BL148,$J148,FALSE()),"")="","",IFERROR(HLOOKUP(C$2,$M$2:$BL148,$J148,FALSE()),""))</f>
        <v/>
      </c>
      <c r="D148" s="1" t="str">
        <f aca="false">IF(IFERROR(HLOOKUP(D$2,$M$2:$BL148,$J148,FALSE()),"")="","",IFERROR(HLOOKUP(D$2,$M$2:$BL148,$J148,FALSE()),""))</f>
        <v/>
      </c>
      <c r="E148" s="1" t="str">
        <f aca="false">IF(IFERROR(HLOOKUP(E$2,$M$2:$BL148,$J148,FALSE()),"")="","",IFERROR(HLOOKUP(E$2,$M$2:$BL148,$J148,FALSE()),""))</f>
        <v/>
      </c>
      <c r="F148" s="1" t="str">
        <f aca="false">IF(IFERROR(HLOOKUP(F$2,$M$2:$BL148,$J148,FALSE()),"")="","",IFERROR(HLOOKUP(F$2,$M$2:$BL148,$J148,FALSE()),""))</f>
        <v/>
      </c>
      <c r="G148" s="1" t="str">
        <f aca="false">IF(IFERROR(HLOOKUP(G$2,$M$2:$BL148,$J148,FALSE()),"")="","",IFERROR(HLOOKUP(G$2,$M$2:$BL148,$J148,FALSE()),""))</f>
        <v/>
      </c>
      <c r="J148" s="1" t="n">
        <f aca="false">+J147+1</f>
        <v>147</v>
      </c>
      <c r="P148" s="1" t="s">
        <v>773</v>
      </c>
      <c r="Q148" s="1" t="s">
        <v>774</v>
      </c>
      <c r="R148" s="1" t="s">
        <v>775</v>
      </c>
      <c r="S148" s="1" t="s">
        <v>776</v>
      </c>
      <c r="U148" s="1" t="s">
        <v>552</v>
      </c>
      <c r="V148" s="1" t="s">
        <v>777</v>
      </c>
      <c r="Y148" s="1" t="s">
        <v>224</v>
      </c>
    </row>
    <row r="149" customFormat="false" ht="11.25" hidden="false" customHeight="false" outlineLevel="0" collapsed="false">
      <c r="A149" s="1" t="str">
        <f aca="false">+A106</f>
        <v>CCC and below</v>
      </c>
      <c r="B149" s="1" t="str">
        <f aca="false">IF(IFERROR(HLOOKUP(B$2,$M$2:$BL149,$J149,FALSE()),"")="","",IFERROR(HLOOKUP(B$2,$M$2:$BL149,$J149,FALSE()),""))</f>
        <v>Domestically less-known brands (incl. third party producers)</v>
      </c>
      <c r="C149" s="1" t="str">
        <f aca="false">IF(IFERROR(HLOOKUP(C$2,$M$2:$BL149,$J149,FALSE()),"")="","",IFERROR(HLOOKUP(C$2,$M$2:$BL149,$J149,FALSE()),""))</f>
        <v/>
      </c>
      <c r="D149" s="1" t="str">
        <f aca="false">IF(IFERROR(HLOOKUP(D$2,$M$2:$BL149,$J149,FALSE()),"")="","",IFERROR(HLOOKUP(D$2,$M$2:$BL149,$J149,FALSE()),""))</f>
        <v/>
      </c>
      <c r="E149" s="1" t="str">
        <f aca="false">IF(IFERROR(HLOOKUP(E$2,$M$2:$BL149,$J149,FALSE()),"")="","",IFERROR(HLOOKUP(E$2,$M$2:$BL149,$J149,FALSE()),""))</f>
        <v/>
      </c>
      <c r="F149" s="1" t="str">
        <f aca="false">IF(IFERROR(HLOOKUP(F$2,$M$2:$BL149,$J149,FALSE()),"")="","",IFERROR(HLOOKUP(F$2,$M$2:$BL149,$J149,FALSE()),""))</f>
        <v/>
      </c>
      <c r="G149" s="1" t="str">
        <f aca="false">IF(IFERROR(HLOOKUP(G$2,$M$2:$BL149,$J149,FALSE()),"")="","",IFERROR(HLOOKUP(G$2,$M$2:$BL149,$J149,FALSE()),""))</f>
        <v/>
      </c>
      <c r="J149" s="1" t="n">
        <f aca="false">+J148+1</f>
        <v>148</v>
      </c>
      <c r="P149" s="1" t="s">
        <v>778</v>
      </c>
      <c r="Q149" s="1" t="s">
        <v>779</v>
      </c>
      <c r="R149" s="1" t="s">
        <v>780</v>
      </c>
      <c r="S149" s="1" t="s">
        <v>781</v>
      </c>
      <c r="U149" s="1" t="s">
        <v>103</v>
      </c>
      <c r="V149" s="1" t="s">
        <v>782</v>
      </c>
      <c r="Y149" s="1" t="s">
        <v>103</v>
      </c>
    </row>
    <row r="150" s="14" customFormat="true" ht="11.25" hidden="false" customHeight="false" outlineLevel="0" collapsed="false">
      <c r="A150" s="13" t="str">
        <f aca="false">+A107</f>
        <v>Factor 2</v>
      </c>
      <c r="B150" s="14" t="str">
        <f aca="false">IF(IFERROR(HLOOKUP(B$2,$M$2:$BL150,$J150,FALSE()),"")="","",IFERROR(HLOOKUP(B$2,$M$2:$BL150,$J150,FALSE()),""))</f>
        <v>Brand Positioning</v>
      </c>
      <c r="C150" s="13" t="str">
        <f aca="false">IF(IFERROR(HLOOKUP(C$2,$M$2:$BL150,$J150,FALSE()),"")="","",IFERROR(HLOOKUP(C$2,$M$2:$BL150,$J150,FALSE()),""))</f>
        <v/>
      </c>
      <c r="D150" s="13" t="str">
        <f aca="false">IF(IFERROR(HLOOKUP(D$2,$M$2:$BL150,$J150,FALSE()),"")="","",IFERROR(HLOOKUP(D$2,$M$2:$BL150,$J150,FALSE()),""))</f>
        <v/>
      </c>
      <c r="E150" s="13" t="str">
        <f aca="false">IF(IFERROR(HLOOKUP(E$2,$M$2:$BL150,$J150,FALSE()),"")="","",IFERROR(HLOOKUP(E$2,$M$2:$BL150,$J150,FALSE()),""))</f>
        <v/>
      </c>
      <c r="F150" s="13" t="str">
        <f aca="false">IF(IFERROR(HLOOKUP(F$2,$M$2:$BL150,$J150,FALSE()),"")="","",IFERROR(HLOOKUP(F$2,$M$2:$BL150,$J150,FALSE()),""))</f>
        <v/>
      </c>
      <c r="G150" s="13" t="str">
        <f aca="false">IF(IFERROR(HLOOKUP(G$2,$M$2:$BL150,$J150,FALSE()),"")="","",IFERROR(HLOOKUP(G$2,$M$2:$BL150,$J150,FALSE()),""))</f>
        <v/>
      </c>
      <c r="H150" s="13"/>
      <c r="J150" s="14" t="n">
        <f aca="false">+J149+1</f>
        <v>149</v>
      </c>
      <c r="P150" s="14" t="s">
        <v>783</v>
      </c>
      <c r="R150" s="14" t="s">
        <v>784</v>
      </c>
      <c r="S150" s="14" t="s">
        <v>785</v>
      </c>
      <c r="U150" s="14" t="s">
        <v>786</v>
      </c>
      <c r="V150" s="14" t="s">
        <v>787</v>
      </c>
      <c r="Y150" s="14" t="s">
        <v>788</v>
      </c>
    </row>
    <row r="151" customFormat="false" ht="11.25" hidden="false" customHeight="false" outlineLevel="0" collapsed="false">
      <c r="A151" s="1" t="str">
        <f aca="false">+A108</f>
        <v>AA and above</v>
      </c>
      <c r="B151" s="1" t="str">
        <f aca="false">IF(IFERROR(HLOOKUP(B$2,$M$2:$BL151,$J151,FALSE()),"")="","",IFERROR(HLOOKUP(B$2,$M$2:$BL151,$J151,FALSE()),""))</f>
        <v>Luxury brands;  scarce or hardly replaceable products</v>
      </c>
      <c r="C151" s="1" t="str">
        <f aca="false">IF(IFERROR(HLOOKUP(C$2,$M$2:$BL151,$J151,FALSE()),"")="","",IFERROR(HLOOKUP(C$2,$M$2:$BL151,$J151,FALSE()),""))</f>
        <v/>
      </c>
      <c r="D151" s="1" t="str">
        <f aca="false">IF(IFERROR(HLOOKUP(D$2,$M$2:$BL151,$J151,FALSE()),"")="","",IFERROR(HLOOKUP(D$2,$M$2:$BL151,$J151,FALSE()),""))</f>
        <v/>
      </c>
      <c r="E151" s="1" t="str">
        <f aca="false">IF(IFERROR(HLOOKUP(E$2,$M$2:$BL151,$J151,FALSE()),"")="","",IFERROR(HLOOKUP(E$2,$M$2:$BL151,$J151,FALSE()),""))</f>
        <v/>
      </c>
      <c r="F151" s="1" t="str">
        <f aca="false">IF(IFERROR(HLOOKUP(F$2,$M$2:$BL151,$J151,FALSE()),"")="","",IFERROR(HLOOKUP(F$2,$M$2:$BL151,$J151,FALSE()),""))</f>
        <v/>
      </c>
      <c r="G151" s="1" t="str">
        <f aca="false">IF(IFERROR(HLOOKUP(G$2,$M$2:$BL151,$J151,FALSE()),"")="","",IFERROR(HLOOKUP(G$2,$M$2:$BL151,$J151,FALSE()),""))</f>
        <v/>
      </c>
      <c r="J151" s="1" t="n">
        <f aca="false">+J150+1</f>
        <v>150</v>
      </c>
      <c r="P151" s="1" t="s">
        <v>789</v>
      </c>
      <c r="R151" s="1" t="s">
        <v>790</v>
      </c>
      <c r="S151" s="1" t="s">
        <v>231</v>
      </c>
      <c r="U151" s="1" t="s">
        <v>791</v>
      </c>
      <c r="V151" s="1" t="s">
        <v>103</v>
      </c>
      <c r="Y151" s="1" t="s">
        <v>792</v>
      </c>
    </row>
    <row r="152" customFormat="false" ht="11.25" hidden="false" customHeight="false" outlineLevel="0" collapsed="false">
      <c r="A152" s="1" t="str">
        <f aca="false">+A109</f>
        <v>A</v>
      </c>
      <c r="B152" s="1" t="str">
        <f aca="false">IF(IFERROR(HLOOKUP(B$2,$M$2:$BL152,$J152,FALSE()),"")="","",IFERROR(HLOOKUP(B$2,$M$2:$BL152,$J152,FALSE()),""))</f>
        <v>Premium segment, reflecting generally very high-quality attributes </v>
      </c>
      <c r="C152" s="1" t="str">
        <f aca="false">IF(IFERROR(HLOOKUP(C$2,$M$2:$BL152,$J152,FALSE()),"")="","",IFERROR(HLOOKUP(C$2,$M$2:$BL152,$J152,FALSE()),""))</f>
        <v/>
      </c>
      <c r="D152" s="1" t="str">
        <f aca="false">IF(IFERROR(HLOOKUP(D$2,$M$2:$BL152,$J152,FALSE()),"")="","",IFERROR(HLOOKUP(D$2,$M$2:$BL152,$J152,FALSE()),""))</f>
        <v/>
      </c>
      <c r="E152" s="1" t="str">
        <f aca="false">IF(IFERROR(HLOOKUP(E$2,$M$2:$BL152,$J152,FALSE()),"")="","",IFERROR(HLOOKUP(E$2,$M$2:$BL152,$J152,FALSE()),""))</f>
        <v/>
      </c>
      <c r="F152" s="1" t="str">
        <f aca="false">IF(IFERROR(HLOOKUP(F$2,$M$2:$BL152,$J152,FALSE()),"")="","",IFERROR(HLOOKUP(F$2,$M$2:$BL152,$J152,FALSE()),""))</f>
        <v/>
      </c>
      <c r="G152" s="1" t="str">
        <f aca="false">IF(IFERROR(HLOOKUP(G$2,$M$2:$BL152,$J152,FALSE()),"")="","",IFERROR(HLOOKUP(G$2,$M$2:$BL152,$J152,FALSE()),""))</f>
        <v/>
      </c>
      <c r="J152" s="1" t="n">
        <f aca="false">+J151+1</f>
        <v>151</v>
      </c>
      <c r="P152" s="1" t="s">
        <v>793</v>
      </c>
      <c r="R152" s="1" t="s">
        <v>790</v>
      </c>
      <c r="S152" s="1" t="s">
        <v>794</v>
      </c>
      <c r="U152" s="1" t="s">
        <v>791</v>
      </c>
      <c r="V152" s="1" t="s">
        <v>795</v>
      </c>
      <c r="Y152" s="1" t="s">
        <v>796</v>
      </c>
    </row>
    <row r="153" customFormat="false" ht="11.25" hidden="false" customHeight="false" outlineLevel="0" collapsed="false">
      <c r="A153" s="1" t="str">
        <f aca="false">+A110</f>
        <v>BBB</v>
      </c>
      <c r="B153" s="1" t="str">
        <f aca="false">IF(IFERROR(HLOOKUP(B$2,$M$2:$BL153,$J153,FALSE()),"")="","",IFERROR(HLOOKUP(B$2,$M$2:$BL153,$J153,FALSE()),""))</f>
        <v>Mid-to-upper end price levels, usually reflecting good quality attributes </v>
      </c>
      <c r="C153" s="1" t="str">
        <f aca="false">IF(IFERROR(HLOOKUP(C$2,$M$2:$BL153,$J153,FALSE()),"")="","",IFERROR(HLOOKUP(C$2,$M$2:$BL153,$J153,FALSE()),""))</f>
        <v/>
      </c>
      <c r="D153" s="1" t="str">
        <f aca="false">IF(IFERROR(HLOOKUP(D$2,$M$2:$BL153,$J153,FALSE()),"")="","",IFERROR(HLOOKUP(D$2,$M$2:$BL153,$J153,FALSE()),""))</f>
        <v/>
      </c>
      <c r="E153" s="1" t="str">
        <f aca="false">IF(IFERROR(HLOOKUP(E$2,$M$2:$BL153,$J153,FALSE()),"")="","",IFERROR(HLOOKUP(E$2,$M$2:$BL153,$J153,FALSE()),""))</f>
        <v/>
      </c>
      <c r="F153" s="1" t="str">
        <f aca="false">IF(IFERROR(HLOOKUP(F$2,$M$2:$BL153,$J153,FALSE()),"")="","",IFERROR(HLOOKUP(F$2,$M$2:$BL153,$J153,FALSE()),""))</f>
        <v/>
      </c>
      <c r="G153" s="1" t="str">
        <f aca="false">IF(IFERROR(HLOOKUP(G$2,$M$2:$BL153,$J153,FALSE()),"")="","",IFERROR(HLOOKUP(G$2,$M$2:$BL153,$J153,FALSE()),""))</f>
        <v/>
      </c>
      <c r="J153" s="1" t="n">
        <f aca="false">+J152+1</f>
        <v>152</v>
      </c>
      <c r="P153" s="1" t="s">
        <v>797</v>
      </c>
      <c r="R153" s="1" t="s">
        <v>798</v>
      </c>
      <c r="S153" s="1" t="s">
        <v>221</v>
      </c>
      <c r="U153" s="1" t="s">
        <v>799</v>
      </c>
      <c r="V153" s="1" t="s">
        <v>800</v>
      </c>
      <c r="Y153" s="1" t="s">
        <v>801</v>
      </c>
    </row>
    <row r="154" customFormat="false" ht="11.25" hidden="false" customHeight="false" outlineLevel="0" collapsed="false">
      <c r="A154" s="1" t="str">
        <f aca="false">+A111</f>
        <v>BB</v>
      </c>
      <c r="B154" s="1" t="str">
        <f aca="false">IF(IFERROR(HLOOKUP(B$2,$M$2:$BL154,$J154,FALSE()),"")="","",IFERROR(HLOOKUP(B$2,$M$2:$BL154,$J154,FALSE()),""))</f>
        <v>Mid-to-low end price levels, reflecting average quality attributes</v>
      </c>
      <c r="C154" s="1" t="str">
        <f aca="false">IF(IFERROR(HLOOKUP(C$2,$M$2:$BL154,$J154,FALSE()),"")="","",IFERROR(HLOOKUP(C$2,$M$2:$BL154,$J154,FALSE()),""))</f>
        <v/>
      </c>
      <c r="D154" s="1" t="str">
        <f aca="false">IF(IFERROR(HLOOKUP(D$2,$M$2:$BL154,$J154,FALSE()),"")="","",IFERROR(HLOOKUP(D$2,$M$2:$BL154,$J154,FALSE()),""))</f>
        <v/>
      </c>
      <c r="E154" s="1" t="str">
        <f aca="false">IF(IFERROR(HLOOKUP(E$2,$M$2:$BL154,$J154,FALSE()),"")="","",IFERROR(HLOOKUP(E$2,$M$2:$BL154,$J154,FALSE()),""))</f>
        <v/>
      </c>
      <c r="F154" s="1" t="str">
        <f aca="false">IF(IFERROR(HLOOKUP(F$2,$M$2:$BL154,$J154,FALSE()),"")="","",IFERROR(HLOOKUP(F$2,$M$2:$BL154,$J154,FALSE()),""))</f>
        <v/>
      </c>
      <c r="G154" s="1" t="str">
        <f aca="false">IF(IFERROR(HLOOKUP(G$2,$M$2:$BL154,$J154,FALSE()),"")="","",IFERROR(HLOOKUP(G$2,$M$2:$BL154,$J154,FALSE()),""))</f>
        <v/>
      </c>
      <c r="J154" s="1" t="n">
        <f aca="false">+J153+1</f>
        <v>153</v>
      </c>
      <c r="P154" s="1" t="s">
        <v>802</v>
      </c>
      <c r="R154" s="1" t="s">
        <v>803</v>
      </c>
      <c r="S154" s="1" t="s">
        <v>804</v>
      </c>
      <c r="U154" s="1" t="s">
        <v>805</v>
      </c>
      <c r="V154" s="1" t="s">
        <v>806</v>
      </c>
      <c r="Y154" s="1" t="s">
        <v>807</v>
      </c>
    </row>
    <row r="155" customFormat="false" ht="11.25" hidden="false" customHeight="false" outlineLevel="0" collapsed="false">
      <c r="A155" s="1" t="str">
        <f aca="false">+A112</f>
        <v>B</v>
      </c>
      <c r="B155" s="1" t="str">
        <f aca="false">IF(IFERROR(HLOOKUP(B$2,$M$2:$BL155,$J155,FALSE()),"")="","",IFERROR(HLOOKUP(B$2,$M$2:$BL155,$J155,FALSE()),""))</f>
        <v>Low-end price level, generally linked to low quality attributes or easily replaceable products </v>
      </c>
      <c r="C155" s="1" t="str">
        <f aca="false">IF(IFERROR(HLOOKUP(C$2,$M$2:$BL155,$J155,FALSE()),"")="","",IFERROR(HLOOKUP(C$2,$M$2:$BL155,$J155,FALSE()),""))</f>
        <v/>
      </c>
      <c r="D155" s="1" t="str">
        <f aca="false">IF(IFERROR(HLOOKUP(D$2,$M$2:$BL155,$J155,FALSE()),"")="","",IFERROR(HLOOKUP(D$2,$M$2:$BL155,$J155,FALSE()),""))</f>
        <v/>
      </c>
      <c r="E155" s="1" t="str">
        <f aca="false">IF(IFERROR(HLOOKUP(E$2,$M$2:$BL155,$J155,FALSE()),"")="","",IFERROR(HLOOKUP(E$2,$M$2:$BL155,$J155,FALSE()),""))</f>
        <v/>
      </c>
      <c r="F155" s="1" t="str">
        <f aca="false">IF(IFERROR(HLOOKUP(F$2,$M$2:$BL155,$J155,FALSE()),"")="","",IFERROR(HLOOKUP(F$2,$M$2:$BL155,$J155,FALSE()),""))</f>
        <v/>
      </c>
      <c r="G155" s="1" t="str">
        <f aca="false">IF(IFERROR(HLOOKUP(G$2,$M$2:$BL155,$J155,FALSE()),"")="","",IFERROR(HLOOKUP(G$2,$M$2:$BL155,$J155,FALSE()),""))</f>
        <v/>
      </c>
      <c r="J155" s="1" t="n">
        <f aca="false">+J154+1</f>
        <v>154</v>
      </c>
      <c r="P155" s="1" t="s">
        <v>808</v>
      </c>
      <c r="R155" s="1" t="s">
        <v>809</v>
      </c>
      <c r="S155" s="1" t="s">
        <v>674</v>
      </c>
      <c r="U155" s="1" t="s">
        <v>810</v>
      </c>
      <c r="V155" s="1" t="s">
        <v>811</v>
      </c>
      <c r="Y155" s="1" t="s">
        <v>812</v>
      </c>
    </row>
    <row r="156" customFormat="false" ht="11.25" hidden="false" customHeight="false" outlineLevel="0" collapsed="false">
      <c r="A156" s="1" t="str">
        <f aca="false">+A113</f>
        <v>CCC and below</v>
      </c>
      <c r="B156" s="1" t="str">
        <f aca="false">IF(IFERROR(HLOOKUP(B$2,$M$2:$BL156,$J156,FALSE()),"")="","",IFERROR(HLOOKUP(B$2,$M$2:$BL156,$J156,FALSE()),""))</f>
        <v>Low-end price level, generally linked to low quality attributes or easily replaceable products </v>
      </c>
      <c r="C156" s="1" t="str">
        <f aca="false">IF(IFERROR(HLOOKUP(C$2,$M$2:$BL156,$J156,FALSE()),"")="","",IFERROR(HLOOKUP(C$2,$M$2:$BL156,$J156,FALSE()),""))</f>
        <v/>
      </c>
      <c r="D156" s="1" t="str">
        <f aca="false">IF(IFERROR(HLOOKUP(D$2,$M$2:$BL156,$J156,FALSE()),"")="","",IFERROR(HLOOKUP(D$2,$M$2:$BL156,$J156,FALSE()),""))</f>
        <v/>
      </c>
      <c r="E156" s="1" t="str">
        <f aca="false">IF(IFERROR(HLOOKUP(E$2,$M$2:$BL156,$J156,FALSE()),"")="","",IFERROR(HLOOKUP(E$2,$M$2:$BL156,$J156,FALSE()),""))</f>
        <v/>
      </c>
      <c r="F156" s="1" t="str">
        <f aca="false">IF(IFERROR(HLOOKUP(F$2,$M$2:$BL156,$J156,FALSE()),"")="","",IFERROR(HLOOKUP(F$2,$M$2:$BL156,$J156,FALSE()),""))</f>
        <v/>
      </c>
      <c r="G156" s="1" t="str">
        <f aca="false">IF(IFERROR(HLOOKUP(G$2,$M$2:$BL156,$J156,FALSE()),"")="","",IFERROR(HLOOKUP(G$2,$M$2:$BL156,$J156,FALSE()),""))</f>
        <v/>
      </c>
      <c r="J156" s="1" t="n">
        <f aca="false">+J155+1</f>
        <v>155</v>
      </c>
      <c r="P156" s="1" t="s">
        <v>808</v>
      </c>
      <c r="R156" s="1" t="s">
        <v>809</v>
      </c>
      <c r="S156" s="1" t="s">
        <v>813</v>
      </c>
      <c r="U156" s="1" t="s">
        <v>103</v>
      </c>
      <c r="V156" s="1" t="s">
        <v>814</v>
      </c>
      <c r="Y156" s="1" t="s">
        <v>103</v>
      </c>
    </row>
    <row r="157" s="14" customFormat="true" ht="11.25" hidden="false" customHeight="false" outlineLevel="0" collapsed="false">
      <c r="A157" s="13" t="str">
        <f aca="false">+A114</f>
        <v>Factor 3</v>
      </c>
      <c r="B157" s="14" t="str">
        <f aca="false">IF(IFERROR(HLOOKUP(B$2,$M$2:$BL157,$J157,FALSE()),"")="","",IFERROR(HLOOKUP(B$2,$M$2:$BL157,$J157,FALSE()),""))</f>
        <v>Sustainable growth</v>
      </c>
      <c r="C157" s="13" t="str">
        <f aca="false">IF(IFERROR(HLOOKUP(C$2,$M$2:$BL157,$J157,FALSE()),"")="","",IFERROR(HLOOKUP(C$2,$M$2:$BL157,$J157,FALSE()),""))</f>
        <v/>
      </c>
      <c r="D157" s="13" t="str">
        <f aca="false">IF(IFERROR(HLOOKUP(D$2,$M$2:$BL157,$J157,FALSE()),"")="","",IFERROR(HLOOKUP(D$2,$M$2:$BL157,$J157,FALSE()),""))</f>
        <v/>
      </c>
      <c r="E157" s="13" t="str">
        <f aca="false">IF(IFERROR(HLOOKUP(E$2,$M$2:$BL157,$J157,FALSE()),"")="","",IFERROR(HLOOKUP(E$2,$M$2:$BL157,$J157,FALSE()),""))</f>
        <v/>
      </c>
      <c r="F157" s="13" t="str">
        <f aca="false">IF(IFERROR(HLOOKUP(F$2,$M$2:$BL157,$J157,FALSE()),"")="","",IFERROR(HLOOKUP(F$2,$M$2:$BL157,$J157,FALSE()),""))</f>
        <v/>
      </c>
      <c r="G157" s="13" t="str">
        <f aca="false">IF(IFERROR(HLOOKUP(G$2,$M$2:$BL157,$J157,FALSE()),"")="","",IFERROR(HLOOKUP(G$2,$M$2:$BL157,$J157,FALSE()),""))</f>
        <v/>
      </c>
      <c r="H157" s="13"/>
      <c r="J157" s="14" t="n">
        <f aca="false">+J156+1</f>
        <v>156</v>
      </c>
      <c r="P157" s="14" t="s">
        <v>815</v>
      </c>
      <c r="R157" s="14" t="s">
        <v>816</v>
      </c>
      <c r="S157" s="14" t="s">
        <v>817</v>
      </c>
      <c r="U157" s="14" t="s">
        <v>818</v>
      </c>
      <c r="V157" s="14" t="s">
        <v>819</v>
      </c>
      <c r="Y157" s="14" t="s">
        <v>820</v>
      </c>
    </row>
    <row r="158" customFormat="false" ht="10.5" hidden="false" customHeight="true" outlineLevel="0" collapsed="false">
      <c r="A158" s="1" t="str">
        <f aca="false">+A115</f>
        <v>AA and above</v>
      </c>
      <c r="B158" s="1" t="str">
        <f aca="false">IF(IFERROR(HLOOKUP(B$2,$M$2:$BL158,$J158,FALSE()),"")="","",IFERROR(HLOOKUP(B$2,$M$2:$BL158,$J158,FALSE()),""))</f>
        <v>Growth above reference market; high investments into brand/product  </v>
      </c>
      <c r="C158" s="1" t="str">
        <f aca="false">IF(IFERROR(HLOOKUP(C$2,$M$2:$BL158,$J158,FALSE()),"")="","",IFERROR(HLOOKUP(C$2,$M$2:$BL158,$J158,FALSE()),""))</f>
        <v/>
      </c>
      <c r="D158" s="1" t="str">
        <f aca="false">IF(IFERROR(HLOOKUP(D$2,$M$2:$BL158,$J158,FALSE()),"")="","",IFERROR(HLOOKUP(D$2,$M$2:$BL158,$J158,FALSE()),""))</f>
        <v/>
      </c>
      <c r="E158" s="1" t="str">
        <f aca="false">IF(IFERROR(HLOOKUP(E$2,$M$2:$BL158,$J158,FALSE()),"")="","",IFERROR(HLOOKUP(E$2,$M$2:$BL158,$J158,FALSE()),""))</f>
        <v/>
      </c>
      <c r="F158" s="1" t="str">
        <f aca="false">IF(IFERROR(HLOOKUP(F$2,$M$2:$BL158,$J158,FALSE()),"")="","",IFERROR(HLOOKUP(F$2,$M$2:$BL158,$J158,FALSE()),""))</f>
        <v/>
      </c>
      <c r="G158" s="1" t="str">
        <f aca="false">IF(IFERROR(HLOOKUP(G$2,$M$2:$BL158,$J158,FALSE()),"")="","",IFERROR(HLOOKUP(G$2,$M$2:$BL158,$J158,FALSE()),""))</f>
        <v/>
      </c>
      <c r="J158" s="1" t="n">
        <f aca="false">+J157+1</f>
        <v>157</v>
      </c>
      <c r="P158" s="1" t="s">
        <v>821</v>
      </c>
      <c r="R158" s="1" t="s">
        <v>822</v>
      </c>
      <c r="S158" s="1" t="s">
        <v>823</v>
      </c>
      <c r="U158" s="1" t="s">
        <v>224</v>
      </c>
      <c r="V158" s="1" t="s">
        <v>103</v>
      </c>
      <c r="Y158" s="1" t="s">
        <v>647</v>
      </c>
    </row>
    <row r="159" customFormat="false" ht="10.5" hidden="false" customHeight="true" outlineLevel="0" collapsed="false">
      <c r="A159" s="1" t="str">
        <f aca="false">+A116</f>
        <v>A</v>
      </c>
      <c r="B159" s="1" t="str">
        <f aca="false">IF(IFERROR(HLOOKUP(B$2,$M$2:$BL159,$J159,FALSE()),"")="","",IFERROR(HLOOKUP(B$2,$M$2:$BL159,$J159,FALSE()),""))</f>
        <v>Growth above reference market; high investments into brand/product  </v>
      </c>
      <c r="C159" s="1" t="str">
        <f aca="false">IF(IFERROR(HLOOKUP(C$2,$M$2:$BL159,$J159,FALSE()),"")="","",IFERROR(HLOOKUP(C$2,$M$2:$BL159,$J159,FALSE()),""))</f>
        <v/>
      </c>
      <c r="D159" s="1" t="str">
        <f aca="false">IF(IFERROR(HLOOKUP(D$2,$M$2:$BL159,$J159,FALSE()),"")="","",IFERROR(HLOOKUP(D$2,$M$2:$BL159,$J159,FALSE()),""))</f>
        <v/>
      </c>
      <c r="E159" s="1" t="str">
        <f aca="false">IF(IFERROR(HLOOKUP(E$2,$M$2:$BL159,$J159,FALSE()),"")="","",IFERROR(HLOOKUP(E$2,$M$2:$BL159,$J159,FALSE()),""))</f>
        <v/>
      </c>
      <c r="F159" s="1" t="str">
        <f aca="false">IF(IFERROR(HLOOKUP(F$2,$M$2:$BL159,$J159,FALSE()),"")="","",IFERROR(HLOOKUP(F$2,$M$2:$BL159,$J159,FALSE()),""))</f>
        <v/>
      </c>
      <c r="G159" s="1" t="str">
        <f aca="false">IF(IFERROR(HLOOKUP(G$2,$M$2:$BL159,$J159,FALSE()),"")="","",IFERROR(HLOOKUP(G$2,$M$2:$BL159,$J159,FALSE()),""))</f>
        <v/>
      </c>
      <c r="J159" s="1" t="n">
        <f aca="false">+J158+1</f>
        <v>158</v>
      </c>
      <c r="P159" s="1" t="s">
        <v>821</v>
      </c>
      <c r="R159" s="1" t="s">
        <v>822</v>
      </c>
      <c r="S159" s="1" t="s">
        <v>823</v>
      </c>
      <c r="U159" s="1" t="s">
        <v>202</v>
      </c>
      <c r="V159" s="18" t="s">
        <v>824</v>
      </c>
      <c r="Y159" s="1" t="s">
        <v>490</v>
      </c>
    </row>
    <row r="160" customFormat="false" ht="10.5" hidden="false" customHeight="true" outlineLevel="0" collapsed="false">
      <c r="A160" s="1" t="str">
        <f aca="false">+A117</f>
        <v>BBB</v>
      </c>
      <c r="B160" s="1" t="str">
        <f aca="false">IF(IFERROR(HLOOKUP(B$2,$M$2:$BL160,$J160,FALSE()),"")="","",IFERROR(HLOOKUP(B$2,$M$2:$BL160,$J160,FALSE()),""))</f>
        <v>Growth slightly above reference market; above-average investments in brand/product </v>
      </c>
      <c r="C160" s="1" t="str">
        <f aca="false">IF(IFERROR(HLOOKUP(C$2,$M$2:$BL160,$J160,FALSE()),"")="","",IFERROR(HLOOKUP(C$2,$M$2:$BL160,$J160,FALSE()),""))</f>
        <v/>
      </c>
      <c r="D160" s="1" t="str">
        <f aca="false">IF(IFERROR(HLOOKUP(D$2,$M$2:$BL160,$J160,FALSE()),"")="","",IFERROR(HLOOKUP(D$2,$M$2:$BL160,$J160,FALSE()),""))</f>
        <v/>
      </c>
      <c r="E160" s="1" t="str">
        <f aca="false">IF(IFERROR(HLOOKUP(E$2,$M$2:$BL160,$J160,FALSE()),"")="","",IFERROR(HLOOKUP(E$2,$M$2:$BL160,$J160,FALSE()),""))</f>
        <v/>
      </c>
      <c r="F160" s="1" t="str">
        <f aca="false">IF(IFERROR(HLOOKUP(F$2,$M$2:$BL160,$J160,FALSE()),"")="","",IFERROR(HLOOKUP(F$2,$M$2:$BL160,$J160,FALSE()),""))</f>
        <v/>
      </c>
      <c r="G160" s="1" t="str">
        <f aca="false">IF(IFERROR(HLOOKUP(G$2,$M$2:$BL160,$J160,FALSE()),"")="","",IFERROR(HLOOKUP(G$2,$M$2:$BL160,$J160,FALSE()),""))</f>
        <v/>
      </c>
      <c r="J160" s="1" t="n">
        <f aca="false">+J159+1</f>
        <v>159</v>
      </c>
      <c r="P160" s="1" t="s">
        <v>825</v>
      </c>
      <c r="R160" s="1" t="s">
        <v>826</v>
      </c>
      <c r="S160" s="1" t="s">
        <v>827</v>
      </c>
      <c r="U160" s="1" t="s">
        <v>419</v>
      </c>
      <c r="V160" s="18" t="s">
        <v>824</v>
      </c>
      <c r="Y160" s="1" t="s">
        <v>482</v>
      </c>
    </row>
    <row r="161" customFormat="false" ht="11.25" hidden="false" customHeight="false" outlineLevel="0" collapsed="false">
      <c r="A161" s="1" t="str">
        <f aca="false">+A118</f>
        <v>BB</v>
      </c>
      <c r="B161" s="1" t="str">
        <f aca="false">IF(IFERROR(HLOOKUP(B$2,$M$2:$BL161,$J161,FALSE()),"")="","",IFERROR(HLOOKUP(B$2,$M$2:$BL161,$J161,FALSE()),""))</f>
        <v>Growth aligned or slightly below reference market; moderate investments in brand/product </v>
      </c>
      <c r="C161" s="1" t="str">
        <f aca="false">IF(IFERROR(HLOOKUP(C$2,$M$2:$BL161,$J161,FALSE()),"")="","",IFERROR(HLOOKUP(C$2,$M$2:$BL161,$J161,FALSE()),""))</f>
        <v/>
      </c>
      <c r="D161" s="1" t="str">
        <f aca="false">IF(IFERROR(HLOOKUP(D$2,$M$2:$BL161,$J161,FALSE()),"")="","",IFERROR(HLOOKUP(D$2,$M$2:$BL161,$J161,FALSE()),""))</f>
        <v/>
      </c>
      <c r="E161" s="1" t="str">
        <f aca="false">IF(IFERROR(HLOOKUP(E$2,$M$2:$BL161,$J161,FALSE()),"")="","",IFERROR(HLOOKUP(E$2,$M$2:$BL161,$J161,FALSE()),""))</f>
        <v/>
      </c>
      <c r="F161" s="1" t="str">
        <f aca="false">IF(IFERROR(HLOOKUP(F$2,$M$2:$BL161,$J161,FALSE()),"")="","",IFERROR(HLOOKUP(F$2,$M$2:$BL161,$J161,FALSE()),""))</f>
        <v/>
      </c>
      <c r="G161" s="1" t="str">
        <f aca="false">IF(IFERROR(HLOOKUP(G$2,$M$2:$BL161,$J161,FALSE()),"")="","",IFERROR(HLOOKUP(G$2,$M$2:$BL161,$J161,FALSE()),""))</f>
        <v/>
      </c>
      <c r="J161" s="1" t="n">
        <f aca="false">+J160+1</f>
        <v>160</v>
      </c>
      <c r="P161" s="1" t="s">
        <v>828</v>
      </c>
      <c r="R161" s="1" t="s">
        <v>829</v>
      </c>
      <c r="S161" s="1" t="s">
        <v>830</v>
      </c>
      <c r="U161" s="1" t="s">
        <v>429</v>
      </c>
      <c r="V161" s="1" t="s">
        <v>831</v>
      </c>
      <c r="Y161" s="1" t="s">
        <v>621</v>
      </c>
    </row>
    <row r="162" customFormat="false" ht="11.25" hidden="false" customHeight="false" outlineLevel="0" collapsed="false">
      <c r="A162" s="1" t="str">
        <f aca="false">+A119</f>
        <v>B</v>
      </c>
      <c r="B162" s="1" t="str">
        <f aca="false">IF(IFERROR(HLOOKUP(B$2,$M$2:$BL162,$J162,FALSE()),"")="","",IFERROR(HLOOKUP(B$2,$M$2:$BL162,$J162,FALSE()),""))</f>
        <v>Growth below reference market, limited investments in brand/product</v>
      </c>
      <c r="C162" s="1" t="str">
        <f aca="false">IF(IFERROR(HLOOKUP(C$2,$M$2:$BL162,$J162,FALSE()),"")="","",IFERROR(HLOOKUP(C$2,$M$2:$BL162,$J162,FALSE()),""))</f>
        <v/>
      </c>
      <c r="D162" s="1" t="str">
        <f aca="false">IF(IFERROR(HLOOKUP(D$2,$M$2:$BL162,$J162,FALSE()),"")="","",IFERROR(HLOOKUP(D$2,$M$2:$BL162,$J162,FALSE()),""))</f>
        <v/>
      </c>
      <c r="E162" s="1" t="str">
        <f aca="false">IF(IFERROR(HLOOKUP(E$2,$M$2:$BL162,$J162,FALSE()),"")="","",IFERROR(HLOOKUP(E$2,$M$2:$BL162,$J162,FALSE()),""))</f>
        <v/>
      </c>
      <c r="F162" s="1" t="str">
        <f aca="false">IF(IFERROR(HLOOKUP(F$2,$M$2:$BL162,$J162,FALSE()),"")="","",IFERROR(HLOOKUP(F$2,$M$2:$BL162,$J162,FALSE()),""))</f>
        <v/>
      </c>
      <c r="G162" s="1" t="str">
        <f aca="false">IF(IFERROR(HLOOKUP(G$2,$M$2:$BL162,$J162,FALSE()),"")="","",IFERROR(HLOOKUP(G$2,$M$2:$BL162,$J162,FALSE()),""))</f>
        <v/>
      </c>
      <c r="J162" s="1" t="n">
        <f aca="false">+J161+1</f>
        <v>161</v>
      </c>
      <c r="P162" s="1" t="s">
        <v>832</v>
      </c>
      <c r="R162" s="1" t="s">
        <v>833</v>
      </c>
      <c r="S162" s="1" t="s">
        <v>834</v>
      </c>
      <c r="U162" s="1" t="s">
        <v>835</v>
      </c>
      <c r="V162" s="1" t="s">
        <v>831</v>
      </c>
      <c r="Y162" s="1" t="s">
        <v>192</v>
      </c>
    </row>
    <row r="163" customFormat="false" ht="11.25" hidden="false" customHeight="false" outlineLevel="0" collapsed="false">
      <c r="A163" s="1" t="str">
        <f aca="false">+A120</f>
        <v>CCC and below</v>
      </c>
      <c r="B163" s="1" t="str">
        <f aca="false">IF(IFERROR(HLOOKUP(B$2,$M$2:$BL163,$J163,FALSE()),"")="","",IFERROR(HLOOKUP(B$2,$M$2:$BL163,$J163,FALSE()),""))</f>
        <v>Heavily declining revenue trend; no investment in brand and/or negative public recognition</v>
      </c>
      <c r="C163" s="1" t="str">
        <f aca="false">IF(IFERROR(HLOOKUP(C$2,$M$2:$BL163,$J163,FALSE()),"")="","",IFERROR(HLOOKUP(C$2,$M$2:$BL163,$J163,FALSE()),""))</f>
        <v/>
      </c>
      <c r="D163" s="1" t="str">
        <f aca="false">IF(IFERROR(HLOOKUP(D$2,$M$2:$BL163,$J163,FALSE()),"")="","",IFERROR(HLOOKUP(D$2,$M$2:$BL163,$J163,FALSE()),""))</f>
        <v/>
      </c>
      <c r="E163" s="1" t="str">
        <f aca="false">IF(IFERROR(HLOOKUP(E$2,$M$2:$BL163,$J163,FALSE()),"")="","",IFERROR(HLOOKUP(E$2,$M$2:$BL163,$J163,FALSE()),""))</f>
        <v/>
      </c>
      <c r="F163" s="1" t="str">
        <f aca="false">IF(IFERROR(HLOOKUP(F$2,$M$2:$BL163,$J163,FALSE()),"")="","",IFERROR(HLOOKUP(F$2,$M$2:$BL163,$J163,FALSE()),""))</f>
        <v/>
      </c>
      <c r="G163" s="1" t="str">
        <f aca="false">IF(IFERROR(HLOOKUP(G$2,$M$2:$BL163,$J163,FALSE()),"")="","",IFERROR(HLOOKUP(G$2,$M$2:$BL163,$J163,FALSE()),""))</f>
        <v/>
      </c>
      <c r="J163" s="1" t="n">
        <f aca="false">+J162+1</f>
        <v>162</v>
      </c>
      <c r="P163" s="1" t="s">
        <v>836</v>
      </c>
      <c r="R163" s="1" t="s">
        <v>837</v>
      </c>
      <c r="S163" s="1" t="s">
        <v>838</v>
      </c>
      <c r="U163" s="1" t="s">
        <v>103</v>
      </c>
      <c r="V163" s="1" t="s">
        <v>839</v>
      </c>
      <c r="Y163" s="1" t="s">
        <v>103</v>
      </c>
    </row>
    <row r="164" s="14" customFormat="true" ht="11.25" hidden="false" customHeight="false" outlineLevel="0" collapsed="false">
      <c r="A164" s="13" t="str">
        <f aca="false">+A121</f>
        <v>Factor 4</v>
      </c>
      <c r="B164" s="14" t="str">
        <f aca="false">IF(IFERROR(HLOOKUP(B$2,$M$2:$BL164,$J164,FALSE()),"")="","",IFERROR(HLOOKUP(B$2,$M$2:$BL164,$J164,FALSE()),""))</f>
        <v/>
      </c>
      <c r="C164" s="13" t="str">
        <f aca="false">IF(IFERROR(HLOOKUP(C$2,$M$2:$BL164,$J164,FALSE()),"")="","",IFERROR(HLOOKUP(C$2,$M$2:$BL164,$J164,FALSE()),""))</f>
        <v/>
      </c>
      <c r="D164" s="13" t="str">
        <f aca="false">IF(IFERROR(HLOOKUP(D$2,$M$2:$BL164,$J164,FALSE()),"")="","",IFERROR(HLOOKUP(D$2,$M$2:$BL164,$J164,FALSE()),""))</f>
        <v/>
      </c>
      <c r="E164" s="13" t="str">
        <f aca="false">IF(IFERROR(HLOOKUP(E$2,$M$2:$BL164,$J164,FALSE()),"")="","",IFERROR(HLOOKUP(E$2,$M$2:$BL164,$J164,FALSE()),""))</f>
        <v/>
      </c>
      <c r="F164" s="13" t="str">
        <f aca="false">IF(IFERROR(HLOOKUP(F$2,$M$2:$BL164,$J164,FALSE()),"")="","",IFERROR(HLOOKUP(F$2,$M$2:$BL164,$J164,FALSE()),""))</f>
        <v/>
      </c>
      <c r="G164" s="13" t="str">
        <f aca="false">IF(IFERROR(HLOOKUP(G$2,$M$2:$BL164,$J164,FALSE()),"")="","",IFERROR(HLOOKUP(G$2,$M$2:$BL164,$J164,FALSE()),""))</f>
        <v/>
      </c>
      <c r="H164" s="13"/>
      <c r="J164" s="14" t="n">
        <f aca="false">+J163+1</f>
        <v>163</v>
      </c>
      <c r="S164" s="14" t="s">
        <v>840</v>
      </c>
      <c r="U164" s="14" t="s">
        <v>841</v>
      </c>
      <c r="V164" s="14" t="s">
        <v>842</v>
      </c>
      <c r="Y164" s="14" t="s">
        <v>843</v>
      </c>
    </row>
    <row r="165" customFormat="false" ht="10.5" hidden="false" customHeight="true" outlineLevel="0" collapsed="false">
      <c r="A165" s="1" t="str">
        <f aca="false">+A122</f>
        <v>AA and above</v>
      </c>
      <c r="B165" s="1" t="str">
        <f aca="false">IF(IFERROR(HLOOKUP(B$2,$M$2:$BL165,$J165,FALSE()),"")="","",IFERROR(HLOOKUP(B$2,$M$2:$BL165,$J165,FALSE()),""))</f>
        <v/>
      </c>
      <c r="C165" s="1" t="str">
        <f aca="false">IF(IFERROR(HLOOKUP(C$2,$M$2:$BL165,$J165,FALSE()),"")="","",IFERROR(HLOOKUP(C$2,$M$2:$BL165,$J165,FALSE()),""))</f>
        <v/>
      </c>
      <c r="D165" s="1" t="str">
        <f aca="false">IF(IFERROR(HLOOKUP(D$2,$M$2:$BL165,$J165,FALSE()),"")="","",IFERROR(HLOOKUP(D$2,$M$2:$BL165,$J165,FALSE()),""))</f>
        <v/>
      </c>
      <c r="E165" s="1" t="str">
        <f aca="false">IF(IFERROR(HLOOKUP(E$2,$M$2:$BL165,$J165,FALSE()),"")="","",IFERROR(HLOOKUP(E$2,$M$2:$BL165,$J165,FALSE()),""))</f>
        <v/>
      </c>
      <c r="F165" s="1" t="str">
        <f aca="false">IF(IFERROR(HLOOKUP(F$2,$M$2:$BL165,$J165,FALSE()),"")="","",IFERROR(HLOOKUP(F$2,$M$2:$BL165,$J165,FALSE()),""))</f>
        <v/>
      </c>
      <c r="G165" s="1" t="str">
        <f aca="false">IF(IFERROR(HLOOKUP(G$2,$M$2:$BL165,$J165,FALSE()),"")="","",IFERROR(HLOOKUP(G$2,$M$2:$BL165,$J165,FALSE()),""))</f>
        <v/>
      </c>
      <c r="J165" s="1" t="n">
        <f aca="false">+J164+1</f>
        <v>164</v>
      </c>
      <c r="S165" s="1" t="s">
        <v>844</v>
      </c>
      <c r="U165" s="1" t="s">
        <v>810</v>
      </c>
      <c r="V165" s="1" t="s">
        <v>103</v>
      </c>
      <c r="Y165" s="1" t="s">
        <v>845</v>
      </c>
    </row>
    <row r="166" customFormat="false" ht="10.5" hidden="false" customHeight="true" outlineLevel="0" collapsed="false">
      <c r="A166" s="1" t="str">
        <f aca="false">+A123</f>
        <v>A</v>
      </c>
      <c r="B166" s="1" t="str">
        <f aca="false">IF(IFERROR(HLOOKUP(B$2,$M$2:$BL166,$J166,FALSE()),"")="","",IFERROR(HLOOKUP(B$2,$M$2:$BL166,$J166,FALSE()),""))</f>
        <v/>
      </c>
      <c r="C166" s="1" t="str">
        <f aca="false">IF(IFERROR(HLOOKUP(C$2,$M$2:$BL166,$J166,FALSE()),"")="","",IFERROR(HLOOKUP(C$2,$M$2:$BL166,$J166,FALSE()),""))</f>
        <v/>
      </c>
      <c r="D166" s="1" t="str">
        <f aca="false">IF(IFERROR(HLOOKUP(D$2,$M$2:$BL166,$J166,FALSE()),"")="","",IFERROR(HLOOKUP(D$2,$M$2:$BL166,$J166,FALSE()),""))</f>
        <v/>
      </c>
      <c r="E166" s="1" t="str">
        <f aca="false">IF(IFERROR(HLOOKUP(E$2,$M$2:$BL166,$J166,FALSE()),"")="","",IFERROR(HLOOKUP(E$2,$M$2:$BL166,$J166,FALSE()),""))</f>
        <v/>
      </c>
      <c r="F166" s="1" t="str">
        <f aca="false">IF(IFERROR(HLOOKUP(F$2,$M$2:$BL166,$J166,FALSE()),"")="","",IFERROR(HLOOKUP(F$2,$M$2:$BL166,$J166,FALSE()),""))</f>
        <v/>
      </c>
      <c r="G166" s="1" t="str">
        <f aca="false">IF(IFERROR(HLOOKUP(G$2,$M$2:$BL166,$J166,FALSE()),"")="","",IFERROR(HLOOKUP(G$2,$M$2:$BL166,$J166,FALSE()),""))</f>
        <v/>
      </c>
      <c r="J166" s="1" t="n">
        <f aca="false">+J165+1</f>
        <v>165</v>
      </c>
      <c r="S166" s="1" t="s">
        <v>846</v>
      </c>
      <c r="U166" s="1" t="s">
        <v>429</v>
      </c>
      <c r="V166" s="18" t="s">
        <v>847</v>
      </c>
      <c r="Y166" s="1" t="s">
        <v>845</v>
      </c>
    </row>
    <row r="167" customFormat="false" ht="10.5" hidden="false" customHeight="true" outlineLevel="0" collapsed="false">
      <c r="A167" s="1" t="str">
        <f aca="false">+A124</f>
        <v>BBB</v>
      </c>
      <c r="B167" s="1" t="str">
        <f aca="false">IF(IFERROR(HLOOKUP(B$2,$M$2:$BL167,$J167,FALSE()),"")="","",IFERROR(HLOOKUP(B$2,$M$2:$BL167,$J167,FALSE()),""))</f>
        <v/>
      </c>
      <c r="C167" s="1" t="str">
        <f aca="false">IF(IFERROR(HLOOKUP(C$2,$M$2:$BL167,$J167,FALSE()),"")="","",IFERROR(HLOOKUP(C$2,$M$2:$BL167,$J167,FALSE()),""))</f>
        <v/>
      </c>
      <c r="D167" s="1" t="str">
        <f aca="false">IF(IFERROR(HLOOKUP(D$2,$M$2:$BL167,$J167,FALSE()),"")="","",IFERROR(HLOOKUP(D$2,$M$2:$BL167,$J167,FALSE()),""))</f>
        <v/>
      </c>
      <c r="E167" s="1" t="str">
        <f aca="false">IF(IFERROR(HLOOKUP(E$2,$M$2:$BL167,$J167,FALSE()),"")="","",IFERROR(HLOOKUP(E$2,$M$2:$BL167,$J167,FALSE()),""))</f>
        <v/>
      </c>
      <c r="F167" s="1" t="str">
        <f aca="false">IF(IFERROR(HLOOKUP(F$2,$M$2:$BL167,$J167,FALSE()),"")="","",IFERROR(HLOOKUP(F$2,$M$2:$BL167,$J167,FALSE()),""))</f>
        <v/>
      </c>
      <c r="G167" s="1" t="str">
        <f aca="false">IF(IFERROR(HLOOKUP(G$2,$M$2:$BL167,$J167,FALSE()),"")="","",IFERROR(HLOOKUP(G$2,$M$2:$BL167,$J167,FALSE()),""))</f>
        <v/>
      </c>
      <c r="J167" s="1" t="n">
        <f aca="false">+J166+1</f>
        <v>166</v>
      </c>
      <c r="S167" s="1" t="s">
        <v>848</v>
      </c>
      <c r="U167" s="1" t="s">
        <v>849</v>
      </c>
      <c r="V167" s="18" t="s">
        <v>850</v>
      </c>
      <c r="Y167" s="1" t="s">
        <v>851</v>
      </c>
    </row>
    <row r="168" customFormat="false" ht="10.5" hidden="false" customHeight="true" outlineLevel="0" collapsed="false">
      <c r="A168" s="1" t="str">
        <f aca="false">+A125</f>
        <v>BB</v>
      </c>
      <c r="B168" s="1" t="str">
        <f aca="false">IF(IFERROR(HLOOKUP(B$2,$M$2:$BL168,$J168,FALSE()),"")="","",IFERROR(HLOOKUP(B$2,$M$2:$BL168,$J168,FALSE()),""))</f>
        <v/>
      </c>
      <c r="C168" s="1" t="str">
        <f aca="false">IF(IFERROR(HLOOKUP(C$2,$M$2:$BL168,$J168,FALSE()),"")="","",IFERROR(HLOOKUP(C$2,$M$2:$BL168,$J168,FALSE()),""))</f>
        <v/>
      </c>
      <c r="D168" s="1" t="str">
        <f aca="false">IF(IFERROR(HLOOKUP(D$2,$M$2:$BL168,$J168,FALSE()),"")="","",IFERROR(HLOOKUP(D$2,$M$2:$BL168,$J168,FALSE()),""))</f>
        <v/>
      </c>
      <c r="E168" s="1" t="str">
        <f aca="false">IF(IFERROR(HLOOKUP(E$2,$M$2:$BL168,$J168,FALSE()),"")="","",IFERROR(HLOOKUP(E$2,$M$2:$BL168,$J168,FALSE()),""))</f>
        <v/>
      </c>
      <c r="F168" s="1" t="str">
        <f aca="false">IF(IFERROR(HLOOKUP(F$2,$M$2:$BL168,$J168,FALSE()),"")="","",IFERROR(HLOOKUP(F$2,$M$2:$BL168,$J168,FALSE()),""))</f>
        <v/>
      </c>
      <c r="G168" s="1" t="str">
        <f aca="false">IF(IFERROR(HLOOKUP(G$2,$M$2:$BL168,$J168,FALSE()),"")="","",IFERROR(HLOOKUP(G$2,$M$2:$BL168,$J168,FALSE()),""))</f>
        <v/>
      </c>
      <c r="J168" s="1" t="n">
        <f aca="false">+J167+1</f>
        <v>167</v>
      </c>
      <c r="S168" s="1" t="s">
        <v>852</v>
      </c>
      <c r="U168" s="1" t="s">
        <v>853</v>
      </c>
      <c r="V168" s="18" t="s">
        <v>854</v>
      </c>
      <c r="Y168" s="1" t="s">
        <v>853</v>
      </c>
    </row>
    <row r="169" customFormat="false" ht="10.5" hidden="false" customHeight="true" outlineLevel="0" collapsed="false">
      <c r="A169" s="1" t="str">
        <f aca="false">+A126</f>
        <v>B</v>
      </c>
      <c r="B169" s="1" t="str">
        <f aca="false">IF(IFERROR(HLOOKUP(B$2,$M$2:$BL169,$J169,FALSE()),"")="","",IFERROR(HLOOKUP(B$2,$M$2:$BL169,$J169,FALSE()),""))</f>
        <v/>
      </c>
      <c r="C169" s="1" t="str">
        <f aca="false">IF(IFERROR(HLOOKUP(C$2,$M$2:$BL169,$J169,FALSE()),"")="","",IFERROR(HLOOKUP(C$2,$M$2:$BL169,$J169,FALSE()),""))</f>
        <v/>
      </c>
      <c r="D169" s="1" t="str">
        <f aca="false">IF(IFERROR(HLOOKUP(D$2,$M$2:$BL169,$J169,FALSE()),"")="","",IFERROR(HLOOKUP(D$2,$M$2:$BL169,$J169,FALSE()),""))</f>
        <v/>
      </c>
      <c r="E169" s="1" t="str">
        <f aca="false">IF(IFERROR(HLOOKUP(E$2,$M$2:$BL169,$J169,FALSE()),"")="","",IFERROR(HLOOKUP(E$2,$M$2:$BL169,$J169,FALSE()),""))</f>
        <v/>
      </c>
      <c r="F169" s="1" t="str">
        <f aca="false">IF(IFERROR(HLOOKUP(F$2,$M$2:$BL169,$J169,FALSE()),"")="","",IFERROR(HLOOKUP(F$2,$M$2:$BL169,$J169,FALSE()),""))</f>
        <v/>
      </c>
      <c r="G169" s="1" t="str">
        <f aca="false">IF(IFERROR(HLOOKUP(G$2,$M$2:$BL169,$J169,FALSE()),"")="","",IFERROR(HLOOKUP(G$2,$M$2:$BL169,$J169,FALSE()),""))</f>
        <v/>
      </c>
      <c r="J169" s="1" t="n">
        <f aca="false">+J168+1</f>
        <v>168</v>
      </c>
      <c r="S169" s="1" t="s">
        <v>855</v>
      </c>
      <c r="U169" s="1" t="s">
        <v>791</v>
      </c>
      <c r="V169" s="18" t="s">
        <v>856</v>
      </c>
      <c r="Y169" s="1" t="s">
        <v>857</v>
      </c>
    </row>
    <row r="170" customFormat="false" ht="10.5" hidden="false" customHeight="true" outlineLevel="0" collapsed="false">
      <c r="A170" s="1" t="str">
        <f aca="false">+A127</f>
        <v>CCC and below</v>
      </c>
      <c r="B170" s="1" t="str">
        <f aca="false">IF(IFERROR(HLOOKUP(B$2,$M$2:$BL170,$J170,FALSE()),"")="","",IFERROR(HLOOKUP(B$2,$M$2:$BL170,$J170,FALSE()),""))</f>
        <v/>
      </c>
      <c r="C170" s="1" t="str">
        <f aca="false">IF(IFERROR(HLOOKUP(C$2,$M$2:$BL170,$J170,FALSE()),"")="","",IFERROR(HLOOKUP(C$2,$M$2:$BL170,$J170,FALSE()),""))</f>
        <v/>
      </c>
      <c r="D170" s="1" t="str">
        <f aca="false">IF(IFERROR(HLOOKUP(D$2,$M$2:$BL170,$J170,FALSE()),"")="","",IFERROR(HLOOKUP(D$2,$M$2:$BL170,$J170,FALSE()),""))</f>
        <v/>
      </c>
      <c r="E170" s="1" t="str">
        <f aca="false">IF(IFERROR(HLOOKUP(E$2,$M$2:$BL170,$J170,FALSE()),"")="","",IFERROR(HLOOKUP(E$2,$M$2:$BL170,$J170,FALSE()),""))</f>
        <v/>
      </c>
      <c r="F170" s="1" t="str">
        <f aca="false">IF(IFERROR(HLOOKUP(F$2,$M$2:$BL170,$J170,FALSE()),"")="","",IFERROR(HLOOKUP(F$2,$M$2:$BL170,$J170,FALSE()),""))</f>
        <v/>
      </c>
      <c r="G170" s="1" t="str">
        <f aca="false">IF(IFERROR(HLOOKUP(G$2,$M$2:$BL170,$J170,FALSE()),"")="","",IFERROR(HLOOKUP(G$2,$M$2:$BL170,$J170,FALSE()),""))</f>
        <v/>
      </c>
      <c r="J170" s="1" t="n">
        <f aca="false">+J169+1</f>
        <v>169</v>
      </c>
      <c r="S170" s="1" t="s">
        <v>855</v>
      </c>
      <c r="U170" s="1" t="s">
        <v>103</v>
      </c>
      <c r="V170" s="1" t="s">
        <v>858</v>
      </c>
      <c r="Y170" s="1" t="s">
        <v>103</v>
      </c>
    </row>
    <row r="171" s="14" customFormat="true" ht="11.25" hidden="false" customHeight="false" outlineLevel="0" collapsed="false">
      <c r="A171" s="13" t="str">
        <f aca="false">+A128</f>
        <v>Factor 5</v>
      </c>
      <c r="B171" s="14" t="str">
        <f aca="false">IF(IFERROR(HLOOKUP(B$2,$M$2:$BL171,$J171,FALSE()),"")="","",IFERROR(HLOOKUP(B$2,$M$2:$BL171,$J171,FALSE()),""))</f>
        <v/>
      </c>
      <c r="C171" s="13" t="str">
        <f aca="false">IF(IFERROR(HLOOKUP(C$2,$M$2:$BL171,$J171,FALSE()),"")="","",IFERROR(HLOOKUP(C$2,$M$2:$BL171,$J171,FALSE()),""))</f>
        <v/>
      </c>
      <c r="D171" s="13" t="str">
        <f aca="false">IF(IFERROR(HLOOKUP(D$2,$M$2:$BL171,$J171,FALSE()),"")="","",IFERROR(HLOOKUP(D$2,$M$2:$BL171,$J171,FALSE()),""))</f>
        <v/>
      </c>
      <c r="E171" s="13" t="str">
        <f aca="false">IF(IFERROR(HLOOKUP(E$2,$M$2:$BL171,$J171,FALSE()),"")="","",IFERROR(HLOOKUP(E$2,$M$2:$BL171,$J171,FALSE()),""))</f>
        <v/>
      </c>
      <c r="F171" s="13" t="str">
        <f aca="false">IF(IFERROR(HLOOKUP(F$2,$M$2:$BL171,$J171,FALSE()),"")="","",IFERROR(HLOOKUP(F$2,$M$2:$BL171,$J171,FALSE()),""))</f>
        <v/>
      </c>
      <c r="G171" s="13" t="str">
        <f aca="false">IF(IFERROR(HLOOKUP(G$2,$M$2:$BL171,$J171,FALSE()),"")="","",IFERROR(HLOOKUP(G$2,$M$2:$BL171,$J171,FALSE()),""))</f>
        <v/>
      </c>
      <c r="H171" s="13"/>
      <c r="J171" s="14" t="n">
        <f aca="false">+J170+1</f>
        <v>170</v>
      </c>
      <c r="S171" s="14" t="s">
        <v>859</v>
      </c>
    </row>
    <row r="172" customFormat="false" ht="11.25" hidden="false" customHeight="false" outlineLevel="0" collapsed="false">
      <c r="A172" s="1" t="str">
        <f aca="false">+A129</f>
        <v>AA and above</v>
      </c>
      <c r="B172" s="1" t="str">
        <f aca="false">IF(IFERROR(HLOOKUP(B$2,$M$2:$BL172,$J172,FALSE()),"")="","",IFERROR(HLOOKUP(B$2,$M$2:$BL172,$J172,FALSE()),""))</f>
        <v/>
      </c>
      <c r="C172" s="1" t="str">
        <f aca="false">IF(IFERROR(HLOOKUP(C$2,$M$2:$BL172,$J172,FALSE()),"")="","",IFERROR(HLOOKUP(C$2,$M$2:$BL172,$J172,FALSE()),""))</f>
        <v/>
      </c>
      <c r="D172" s="1" t="str">
        <f aca="false">IF(IFERROR(HLOOKUP(D$2,$M$2:$BL172,$J172,FALSE()),"")="","",IFERROR(HLOOKUP(D$2,$M$2:$BL172,$J172,FALSE()),""))</f>
        <v/>
      </c>
      <c r="E172" s="1" t="str">
        <f aca="false">IF(IFERROR(HLOOKUP(E$2,$M$2:$BL172,$J172,FALSE()),"")="","",IFERROR(HLOOKUP(E$2,$M$2:$BL172,$J172,FALSE()),""))</f>
        <v/>
      </c>
      <c r="F172" s="1" t="str">
        <f aca="false">IF(IFERROR(HLOOKUP(F$2,$M$2:$BL172,$J172,FALSE()),"")="","",IFERROR(HLOOKUP(F$2,$M$2:$BL172,$J172,FALSE()),""))</f>
        <v/>
      </c>
      <c r="G172" s="1" t="str">
        <f aca="false">IF(IFERROR(HLOOKUP(G$2,$M$2:$BL172,$J172,FALSE()),"")="","",IFERROR(HLOOKUP(G$2,$M$2:$BL172,$J172,FALSE()),""))</f>
        <v/>
      </c>
      <c r="J172" s="1" t="n">
        <f aca="false">+J171+1</f>
        <v>171</v>
      </c>
      <c r="S172" s="1" t="s">
        <v>860</v>
      </c>
    </row>
    <row r="173" customFormat="false" ht="11.25" hidden="false" customHeight="false" outlineLevel="0" collapsed="false">
      <c r="A173" s="1" t="str">
        <f aca="false">+A130</f>
        <v>A</v>
      </c>
      <c r="B173" s="1" t="str">
        <f aca="false">IF(IFERROR(HLOOKUP(B$2,$M$2:$BL173,$J173,FALSE()),"")="","",IFERROR(HLOOKUP(B$2,$M$2:$BL173,$J173,FALSE()),""))</f>
        <v/>
      </c>
      <c r="C173" s="1" t="str">
        <f aca="false">IF(IFERROR(HLOOKUP(C$2,$M$2:$BL173,$J173,FALSE()),"")="","",IFERROR(HLOOKUP(C$2,$M$2:$BL173,$J173,FALSE()),""))</f>
        <v/>
      </c>
      <c r="D173" s="1" t="str">
        <f aca="false">IF(IFERROR(HLOOKUP(D$2,$M$2:$BL173,$J173,FALSE()),"")="","",IFERROR(HLOOKUP(D$2,$M$2:$BL173,$J173,FALSE()),""))</f>
        <v/>
      </c>
      <c r="E173" s="1" t="str">
        <f aca="false">IF(IFERROR(HLOOKUP(E$2,$M$2:$BL173,$J173,FALSE()),"")="","",IFERROR(HLOOKUP(E$2,$M$2:$BL173,$J173,FALSE()),""))</f>
        <v/>
      </c>
      <c r="F173" s="1" t="str">
        <f aca="false">IF(IFERROR(HLOOKUP(F$2,$M$2:$BL173,$J173,FALSE()),"")="","",IFERROR(HLOOKUP(F$2,$M$2:$BL173,$J173,FALSE()),""))</f>
        <v/>
      </c>
      <c r="G173" s="1" t="str">
        <f aca="false">IF(IFERROR(HLOOKUP(G$2,$M$2:$BL173,$J173,FALSE()),"")="","",IFERROR(HLOOKUP(G$2,$M$2:$BL173,$J173,FALSE()),""))</f>
        <v/>
      </c>
      <c r="J173" s="1" t="n">
        <f aca="false">+J172+1</f>
        <v>172</v>
      </c>
      <c r="S173" s="1" t="s">
        <v>860</v>
      </c>
    </row>
    <row r="174" customFormat="false" ht="11.25" hidden="false" customHeight="false" outlineLevel="0" collapsed="false">
      <c r="A174" s="1" t="str">
        <f aca="false">+A131</f>
        <v>BBB</v>
      </c>
      <c r="B174" s="1" t="str">
        <f aca="false">IF(IFERROR(HLOOKUP(B$2,$M$2:$BL174,$J174,FALSE()),"")="","",IFERROR(HLOOKUP(B$2,$M$2:$BL174,$J174,FALSE()),""))</f>
        <v/>
      </c>
      <c r="C174" s="1" t="str">
        <f aca="false">IF(IFERROR(HLOOKUP(C$2,$M$2:$BL174,$J174,FALSE()),"")="","",IFERROR(HLOOKUP(C$2,$M$2:$BL174,$J174,FALSE()),""))</f>
        <v/>
      </c>
      <c r="D174" s="1" t="str">
        <f aca="false">IF(IFERROR(HLOOKUP(D$2,$M$2:$BL174,$J174,FALSE()),"")="","",IFERROR(HLOOKUP(D$2,$M$2:$BL174,$J174,FALSE()),""))</f>
        <v/>
      </c>
      <c r="E174" s="1" t="str">
        <f aca="false">IF(IFERROR(HLOOKUP(E$2,$M$2:$BL174,$J174,FALSE()),"")="","",IFERROR(HLOOKUP(E$2,$M$2:$BL174,$J174,FALSE()),""))</f>
        <v/>
      </c>
      <c r="F174" s="1" t="str">
        <f aca="false">IF(IFERROR(HLOOKUP(F$2,$M$2:$BL174,$J174,FALSE()),"")="","",IFERROR(HLOOKUP(F$2,$M$2:$BL174,$J174,FALSE()),""))</f>
        <v/>
      </c>
      <c r="G174" s="1" t="str">
        <f aca="false">IF(IFERROR(HLOOKUP(G$2,$M$2:$BL174,$J174,FALSE()),"")="","",IFERROR(HLOOKUP(G$2,$M$2:$BL174,$J174,FALSE()),""))</f>
        <v/>
      </c>
      <c r="J174" s="1" t="n">
        <f aca="false">+J173+1</f>
        <v>173</v>
      </c>
      <c r="S174" s="1" t="s">
        <v>861</v>
      </c>
    </row>
    <row r="175" customFormat="false" ht="11.25" hidden="false" customHeight="false" outlineLevel="0" collapsed="false">
      <c r="A175" s="1" t="str">
        <f aca="false">+A132</f>
        <v>BB</v>
      </c>
      <c r="B175" s="1" t="str">
        <f aca="false">IF(IFERROR(HLOOKUP(B$2,$M$2:$BL175,$J175,FALSE()),"")="","",IFERROR(HLOOKUP(B$2,$M$2:$BL175,$J175,FALSE()),""))</f>
        <v/>
      </c>
      <c r="C175" s="1" t="str">
        <f aca="false">IF(IFERROR(HLOOKUP(C$2,$M$2:$BL175,$J175,FALSE()),"")="","",IFERROR(HLOOKUP(C$2,$M$2:$BL175,$J175,FALSE()),""))</f>
        <v/>
      </c>
      <c r="D175" s="1" t="str">
        <f aca="false">IF(IFERROR(HLOOKUP(D$2,$M$2:$BL175,$J175,FALSE()),"")="","",IFERROR(HLOOKUP(D$2,$M$2:$BL175,$J175,FALSE()),""))</f>
        <v/>
      </c>
      <c r="E175" s="1" t="str">
        <f aca="false">IF(IFERROR(HLOOKUP(E$2,$M$2:$BL175,$J175,FALSE()),"")="","",IFERROR(HLOOKUP(E$2,$M$2:$BL175,$J175,FALSE()),""))</f>
        <v/>
      </c>
      <c r="F175" s="1" t="str">
        <f aca="false">IF(IFERROR(HLOOKUP(F$2,$M$2:$BL175,$J175,FALSE()),"")="","",IFERROR(HLOOKUP(F$2,$M$2:$BL175,$J175,FALSE()),""))</f>
        <v/>
      </c>
      <c r="G175" s="1" t="str">
        <f aca="false">IF(IFERROR(HLOOKUP(G$2,$M$2:$BL175,$J175,FALSE()),"")="","",IFERROR(HLOOKUP(G$2,$M$2:$BL175,$J175,FALSE()),""))</f>
        <v/>
      </c>
      <c r="J175" s="1" t="n">
        <f aca="false">+J174+1</f>
        <v>174</v>
      </c>
      <c r="S175" s="1" t="s">
        <v>862</v>
      </c>
    </row>
    <row r="176" customFormat="false" ht="11.25" hidden="false" customHeight="false" outlineLevel="0" collapsed="false">
      <c r="A176" s="1" t="str">
        <f aca="false">+A133</f>
        <v>B</v>
      </c>
      <c r="B176" s="1" t="str">
        <f aca="false">IF(IFERROR(HLOOKUP(B$2,$M$2:$BL176,$J176,FALSE()),"")="","",IFERROR(HLOOKUP(B$2,$M$2:$BL176,$J176,FALSE()),""))</f>
        <v/>
      </c>
      <c r="C176" s="1" t="str">
        <f aca="false">IF(IFERROR(HLOOKUP(C$2,$M$2:$BL176,$J176,FALSE()),"")="","",IFERROR(HLOOKUP(C$2,$M$2:$BL176,$J176,FALSE()),""))</f>
        <v/>
      </c>
      <c r="D176" s="1" t="str">
        <f aca="false">IF(IFERROR(HLOOKUP(D$2,$M$2:$BL176,$J176,FALSE()),"")="","",IFERROR(HLOOKUP(D$2,$M$2:$BL176,$J176,FALSE()),""))</f>
        <v/>
      </c>
      <c r="E176" s="1" t="str">
        <f aca="false">IF(IFERROR(HLOOKUP(E$2,$M$2:$BL176,$J176,FALSE()),"")="","",IFERROR(HLOOKUP(E$2,$M$2:$BL176,$J176,FALSE()),""))</f>
        <v/>
      </c>
      <c r="F176" s="1" t="str">
        <f aca="false">IF(IFERROR(HLOOKUP(F$2,$M$2:$BL176,$J176,FALSE()),"")="","",IFERROR(HLOOKUP(F$2,$M$2:$BL176,$J176,FALSE()),""))</f>
        <v/>
      </c>
      <c r="G176" s="1" t="str">
        <f aca="false">IF(IFERROR(HLOOKUP(G$2,$M$2:$BL176,$J176,FALSE()),"")="","",IFERROR(HLOOKUP(G$2,$M$2:$BL176,$J176,FALSE()),""))</f>
        <v/>
      </c>
      <c r="J176" s="1" t="n">
        <f aca="false">+J175+1</f>
        <v>175</v>
      </c>
      <c r="S176" s="1" t="s">
        <v>863</v>
      </c>
    </row>
    <row r="177" customFormat="false" ht="11.25" hidden="false" customHeight="false" outlineLevel="0" collapsed="false">
      <c r="A177" s="1" t="str">
        <f aca="false">+A134</f>
        <v>CCC and below</v>
      </c>
      <c r="B177" s="1" t="str">
        <f aca="false">IF(IFERROR(HLOOKUP(B$2,$M$2:$BL177,$J177,FALSE()),"")="","",IFERROR(HLOOKUP(B$2,$M$2:$BL177,$J177,FALSE()),""))</f>
        <v/>
      </c>
      <c r="C177" s="1" t="str">
        <f aca="false">IF(IFERROR(HLOOKUP(C$2,$M$2:$BL177,$J177,FALSE()),"")="","",IFERROR(HLOOKUP(C$2,$M$2:$BL177,$J177,FALSE()),""))</f>
        <v/>
      </c>
      <c r="D177" s="1" t="str">
        <f aca="false">IF(IFERROR(HLOOKUP(D$2,$M$2:$BL177,$J177,FALSE()),"")="","",IFERROR(HLOOKUP(D$2,$M$2:$BL177,$J177,FALSE()),""))</f>
        <v/>
      </c>
      <c r="E177" s="1" t="str">
        <f aca="false">IF(IFERROR(HLOOKUP(E$2,$M$2:$BL177,$J177,FALSE()),"")="","",IFERROR(HLOOKUP(E$2,$M$2:$BL177,$J177,FALSE()),""))</f>
        <v/>
      </c>
      <c r="F177" s="1" t="str">
        <f aca="false">IF(IFERROR(HLOOKUP(F$2,$M$2:$BL177,$J177,FALSE()),"")="","",IFERROR(HLOOKUP(F$2,$M$2:$BL177,$J177,FALSE()),""))</f>
        <v/>
      </c>
      <c r="G177" s="1" t="str">
        <f aca="false">IF(IFERROR(HLOOKUP(G$2,$M$2:$BL177,$J177,FALSE()),"")="","",IFERROR(HLOOKUP(G$2,$M$2:$BL177,$J177,FALSE()),""))</f>
        <v/>
      </c>
      <c r="J177" s="1" t="n">
        <f aca="false">+J176+1</f>
        <v>176</v>
      </c>
      <c r="S177" s="1" t="s">
        <v>863</v>
      </c>
    </row>
    <row r="178" customFormat="false" ht="11.25" hidden="false" customHeight="false" outlineLevel="0" collapsed="false">
      <c r="J178" s="1" t="n">
        <f aca="false">+J177+1</f>
        <v>177</v>
      </c>
    </row>
    <row r="179" customFormat="false" ht="11.25" hidden="false" customHeight="false" outlineLevel="0" collapsed="false">
      <c r="J179" s="1" t="n">
        <f aca="false">+J178+1</f>
        <v>178</v>
      </c>
    </row>
    <row r="180" customFormat="false" ht="11.25" hidden="false" customHeight="false" outlineLevel="0" collapsed="false">
      <c r="A180" s="3" t="s">
        <v>864</v>
      </c>
      <c r="B180" s="1" t="str">
        <f aca="false">IF(IFERROR(HLOOKUP(B$2,$M$2:$BL180,$J180,FALSE()),"")="","",IFERROR(HLOOKUP(B$2,$M$2:$BL180,$J180,FALSE()),""))</f>
        <v/>
      </c>
      <c r="C180" s="1" t="str">
        <f aca="false">IF(IFERROR(HLOOKUP(C$2,$M$2:$BL180,$J180,FALSE()),"")="","",IFERROR(HLOOKUP(C$2,$M$2:$BL180,$J180,FALSE()),""))</f>
        <v/>
      </c>
      <c r="D180" s="1" t="str">
        <f aca="false">IF(IFERROR(HLOOKUP(D$2,$M$2:$BL180,$J180,FALSE()),"")="","",IFERROR(HLOOKUP(D$2,$M$2:$BL180,$J180,FALSE()),""))</f>
        <v/>
      </c>
      <c r="E180" s="1" t="str">
        <f aca="false">IF(IFERROR(HLOOKUP(E$2,$M$2:$BL180,$J180,FALSE()),"")="","",IFERROR(HLOOKUP(E$2,$M$2:$BL180,$J180,FALSE()),""))</f>
        <v/>
      </c>
      <c r="F180" s="1" t="str">
        <f aca="false">IF(IFERROR(HLOOKUP(F$2,$M$2:$BL180,$J180,FALSE()),"")="","",IFERROR(HLOOKUP(F$2,$M$2:$BL180,$J180,FALSE()),""))</f>
        <v/>
      </c>
      <c r="G180" s="1" t="str">
        <f aca="false">IF(IFERROR(HLOOKUP(G$2,$M$2:$BL180,$J180,FALSE()),"")="","",IFERROR(HLOOKUP(G$2,$M$2:$BL180,$J180,FALSE()),""))</f>
        <v/>
      </c>
      <c r="J180" s="1" t="n">
        <f aca="false">+J179+1</f>
        <v>179</v>
      </c>
      <c r="U180" s="6" t="s">
        <v>865</v>
      </c>
    </row>
    <row r="181" s="14" customFormat="true" ht="11.25" hidden="false" customHeight="false" outlineLevel="0" collapsed="false">
      <c r="A181" s="13" t="str">
        <f aca="false">+A143</f>
        <v>Factor 1</v>
      </c>
      <c r="B181" s="14" t="str">
        <f aca="false">IF(IFERROR(HLOOKUP(B$2,$M$2:$BL181,$J181,FALSE()),"")="","",IFERROR(HLOOKUP(B$2,$M$2:$BL181,$J181,FALSE()),""))</f>
        <v/>
      </c>
      <c r="C181" s="13" t="str">
        <f aca="false">IF(IFERROR(HLOOKUP(C$2,$M$2:$BL181,$J181,FALSE()),"")="","",IFERROR(HLOOKUP(C$2,$M$2:$BL181,$J181,FALSE()),""))</f>
        <v/>
      </c>
      <c r="D181" s="13" t="str">
        <f aca="false">IF(IFERROR(HLOOKUP(D$2,$M$2:$BL181,$J181,FALSE()),"")="","",IFERROR(HLOOKUP(D$2,$M$2:$BL181,$J181,FALSE()),""))</f>
        <v/>
      </c>
      <c r="E181" s="13" t="str">
        <f aca="false">IF(IFERROR(HLOOKUP(E$2,$M$2:$BL181,$J181,FALSE()),"")="","",IFERROR(HLOOKUP(E$2,$M$2:$BL181,$J181,FALSE()),""))</f>
        <v/>
      </c>
      <c r="F181" s="13" t="str">
        <f aca="false">IF(IFERROR(HLOOKUP(F$2,$M$2:$BL181,$J181,FALSE()),"")="","",IFERROR(HLOOKUP(F$2,$M$2:$BL181,$J181,FALSE()),""))</f>
        <v/>
      </c>
      <c r="G181" s="13" t="str">
        <f aca="false">IF(IFERROR(HLOOKUP(G$2,$M$2:$BL181,$J181,FALSE()),"")="","",IFERROR(HLOOKUP(G$2,$M$2:$BL181,$J181,FALSE()),""))</f>
        <v/>
      </c>
      <c r="H181" s="13"/>
      <c r="J181" s="14" t="n">
        <f aca="false">+J180+1</f>
        <v>180</v>
      </c>
      <c r="U181" s="14" t="s">
        <v>336</v>
      </c>
      <c r="Y181" s="14" t="s">
        <v>866</v>
      </c>
    </row>
    <row r="182" customFormat="false" ht="11.25" hidden="false" customHeight="false" outlineLevel="0" collapsed="false">
      <c r="A182" s="1" t="str">
        <f aca="false">+A144</f>
        <v>AA and above</v>
      </c>
      <c r="B182" s="1" t="str">
        <f aca="false">IF(IFERROR(HLOOKUP(B$2,$M$2:$BL182,$J182,FALSE()),"")="","",IFERROR(HLOOKUP(B$2,$M$2:$BL182,$J182,FALSE()),""))</f>
        <v/>
      </c>
      <c r="C182" s="1" t="str">
        <f aca="false">IF(IFERROR(HLOOKUP(C$2,$M$2:$BL182,$J182,FALSE()),"")="","",IFERROR(HLOOKUP(C$2,$M$2:$BL182,$J182,FALSE()),""))</f>
        <v/>
      </c>
      <c r="D182" s="1" t="str">
        <f aca="false">IF(IFERROR(HLOOKUP(D$2,$M$2:$BL182,$J182,FALSE()),"")="","",IFERROR(HLOOKUP(D$2,$M$2:$BL182,$J182,FALSE()),""))</f>
        <v/>
      </c>
      <c r="E182" s="1" t="str">
        <f aca="false">IF(IFERROR(HLOOKUP(E$2,$M$2:$BL182,$J182,FALSE()),"")="","",IFERROR(HLOOKUP(E$2,$M$2:$BL182,$J182,FALSE()),""))</f>
        <v/>
      </c>
      <c r="F182" s="1" t="str">
        <f aca="false">IF(IFERROR(HLOOKUP(F$2,$M$2:$BL182,$J182,FALSE()),"")="","",IFERROR(HLOOKUP(F$2,$M$2:$BL182,$J182,FALSE()),""))</f>
        <v/>
      </c>
      <c r="G182" s="1" t="str">
        <f aca="false">IF(IFERROR(HLOOKUP(G$2,$M$2:$BL182,$J182,FALSE()),"")="","",IFERROR(HLOOKUP(G$2,$M$2:$BL182,$J182,FALSE()),""))</f>
        <v/>
      </c>
      <c r="J182" s="1" t="n">
        <f aca="false">+J181+1</f>
        <v>181</v>
      </c>
      <c r="U182" s="1" t="s">
        <v>867</v>
      </c>
      <c r="Y182" s="1" t="s">
        <v>868</v>
      </c>
    </row>
    <row r="183" customFormat="false" ht="11.25" hidden="false" customHeight="false" outlineLevel="0" collapsed="false">
      <c r="A183" s="1" t="str">
        <f aca="false">+A145</f>
        <v>A</v>
      </c>
      <c r="B183" s="1" t="str">
        <f aca="false">IF(IFERROR(HLOOKUP(B$2,$M$2:$BL183,$J183,FALSE()),"")="","",IFERROR(HLOOKUP(B$2,$M$2:$BL183,$J183,FALSE()),""))</f>
        <v/>
      </c>
      <c r="C183" s="1" t="str">
        <f aca="false">IF(IFERROR(HLOOKUP(C$2,$M$2:$BL183,$J183,FALSE()),"")="","",IFERROR(HLOOKUP(C$2,$M$2:$BL183,$J183,FALSE()),""))</f>
        <v/>
      </c>
      <c r="D183" s="1" t="str">
        <f aca="false">IF(IFERROR(HLOOKUP(D$2,$M$2:$BL183,$J183,FALSE()),"")="","",IFERROR(HLOOKUP(D$2,$M$2:$BL183,$J183,FALSE()),""))</f>
        <v/>
      </c>
      <c r="E183" s="1" t="str">
        <f aca="false">IF(IFERROR(HLOOKUP(E$2,$M$2:$BL183,$J183,FALSE()),"")="","",IFERROR(HLOOKUP(E$2,$M$2:$BL183,$J183,FALSE()),""))</f>
        <v/>
      </c>
      <c r="F183" s="1" t="str">
        <f aca="false">IF(IFERROR(HLOOKUP(F$2,$M$2:$BL183,$J183,FALSE()),"")="","",IFERROR(HLOOKUP(F$2,$M$2:$BL183,$J183,FALSE()),""))</f>
        <v/>
      </c>
      <c r="G183" s="1" t="str">
        <f aca="false">IF(IFERROR(HLOOKUP(G$2,$M$2:$BL183,$J183,FALSE()),"")="","",IFERROR(HLOOKUP(G$2,$M$2:$BL183,$J183,FALSE()),""))</f>
        <v/>
      </c>
      <c r="J183" s="1" t="n">
        <f aca="false">+J182+1</f>
        <v>182</v>
      </c>
      <c r="U183" s="1" t="s">
        <v>867</v>
      </c>
      <c r="Y183" s="1" t="s">
        <v>542</v>
      </c>
    </row>
    <row r="184" customFormat="false" ht="11.25" hidden="false" customHeight="false" outlineLevel="0" collapsed="false">
      <c r="A184" s="1" t="str">
        <f aca="false">+A146</f>
        <v>BBB</v>
      </c>
      <c r="B184" s="1" t="str">
        <f aca="false">IF(IFERROR(HLOOKUP(B$2,$M$2:$BL184,$J184,FALSE()),"")="","",IFERROR(HLOOKUP(B$2,$M$2:$BL184,$J184,FALSE()),""))</f>
        <v/>
      </c>
      <c r="C184" s="1" t="str">
        <f aca="false">IF(IFERROR(HLOOKUP(C$2,$M$2:$BL184,$J184,FALSE()),"")="","",IFERROR(HLOOKUP(C$2,$M$2:$BL184,$J184,FALSE()),""))</f>
        <v/>
      </c>
      <c r="D184" s="1" t="str">
        <f aca="false">IF(IFERROR(HLOOKUP(D$2,$M$2:$BL184,$J184,FALSE()),"")="","",IFERROR(HLOOKUP(D$2,$M$2:$BL184,$J184,FALSE()),""))</f>
        <v/>
      </c>
      <c r="E184" s="1" t="str">
        <f aca="false">IF(IFERROR(HLOOKUP(E$2,$M$2:$BL184,$J184,FALSE()),"")="","",IFERROR(HLOOKUP(E$2,$M$2:$BL184,$J184,FALSE()),""))</f>
        <v/>
      </c>
      <c r="F184" s="1" t="str">
        <f aca="false">IF(IFERROR(HLOOKUP(F$2,$M$2:$BL184,$J184,FALSE()),"")="","",IFERROR(HLOOKUP(F$2,$M$2:$BL184,$J184,FALSE()),""))</f>
        <v/>
      </c>
      <c r="G184" s="1" t="str">
        <f aca="false">IF(IFERROR(HLOOKUP(G$2,$M$2:$BL184,$J184,FALSE()),"")="","",IFERROR(HLOOKUP(G$2,$M$2:$BL184,$J184,FALSE()),""))</f>
        <v/>
      </c>
      <c r="J184" s="1" t="n">
        <f aca="false">+J183+1</f>
        <v>183</v>
      </c>
      <c r="U184" s="1" t="s">
        <v>869</v>
      </c>
      <c r="Y184" s="1" t="s">
        <v>675</v>
      </c>
    </row>
    <row r="185" customFormat="false" ht="11.25" hidden="false" customHeight="false" outlineLevel="0" collapsed="false">
      <c r="A185" s="1" t="str">
        <f aca="false">+A147</f>
        <v>BB</v>
      </c>
      <c r="B185" s="1" t="str">
        <f aca="false">IF(IFERROR(HLOOKUP(B$2,$M$2:$BL185,$J185,FALSE()),"")="","",IFERROR(HLOOKUP(B$2,$M$2:$BL185,$J185,FALSE()),""))</f>
        <v/>
      </c>
      <c r="C185" s="1" t="str">
        <f aca="false">IF(IFERROR(HLOOKUP(C$2,$M$2:$BL185,$J185,FALSE()),"")="","",IFERROR(HLOOKUP(C$2,$M$2:$BL185,$J185,FALSE()),""))</f>
        <v/>
      </c>
      <c r="D185" s="1" t="str">
        <f aca="false">IF(IFERROR(HLOOKUP(D$2,$M$2:$BL185,$J185,FALSE()),"")="","",IFERROR(HLOOKUP(D$2,$M$2:$BL185,$J185,FALSE()),""))</f>
        <v/>
      </c>
      <c r="E185" s="1" t="str">
        <f aca="false">IF(IFERROR(HLOOKUP(E$2,$M$2:$BL185,$J185,FALSE()),"")="","",IFERROR(HLOOKUP(E$2,$M$2:$BL185,$J185,FALSE()),""))</f>
        <v/>
      </c>
      <c r="F185" s="1" t="str">
        <f aca="false">IF(IFERROR(HLOOKUP(F$2,$M$2:$BL185,$J185,FALSE()),"")="","",IFERROR(HLOOKUP(F$2,$M$2:$BL185,$J185,FALSE()),""))</f>
        <v/>
      </c>
      <c r="G185" s="1" t="str">
        <f aca="false">IF(IFERROR(HLOOKUP(G$2,$M$2:$BL185,$J185,FALSE()),"")="","",IFERROR(HLOOKUP(G$2,$M$2:$BL185,$J185,FALSE()),""))</f>
        <v/>
      </c>
      <c r="J185" s="1" t="n">
        <f aca="false">+J184+1</f>
        <v>184</v>
      </c>
      <c r="U185" s="1" t="s">
        <v>870</v>
      </c>
      <c r="Y185" s="10" t="n">
        <v>0</v>
      </c>
    </row>
    <row r="186" customFormat="false" ht="11.25" hidden="false" customHeight="false" outlineLevel="0" collapsed="false">
      <c r="A186" s="1" t="str">
        <f aca="false">+A148</f>
        <v>B</v>
      </c>
      <c r="B186" s="1" t="str">
        <f aca="false">IF(IFERROR(HLOOKUP(B$2,$M$2:$BL186,$J186,FALSE()),"")="","",IFERROR(HLOOKUP(B$2,$M$2:$BL186,$J186,FALSE()),""))</f>
        <v/>
      </c>
      <c r="C186" s="1" t="str">
        <f aca="false">IF(IFERROR(HLOOKUP(C$2,$M$2:$BL186,$J186,FALSE()),"")="","",IFERROR(HLOOKUP(C$2,$M$2:$BL186,$J186,FALSE()),""))</f>
        <v/>
      </c>
      <c r="D186" s="1" t="str">
        <f aca="false">IF(IFERROR(HLOOKUP(D$2,$M$2:$BL186,$J186,FALSE()),"")="","",IFERROR(HLOOKUP(D$2,$M$2:$BL186,$J186,FALSE()),""))</f>
        <v/>
      </c>
      <c r="E186" s="1" t="str">
        <f aca="false">IF(IFERROR(HLOOKUP(E$2,$M$2:$BL186,$J186,FALSE()),"")="","",IFERROR(HLOOKUP(E$2,$M$2:$BL186,$J186,FALSE()),""))</f>
        <v/>
      </c>
      <c r="F186" s="1" t="str">
        <f aca="false">IF(IFERROR(HLOOKUP(F$2,$M$2:$BL186,$J186,FALSE()),"")="","",IFERROR(HLOOKUP(F$2,$M$2:$BL186,$J186,FALSE()),""))</f>
        <v/>
      </c>
      <c r="G186" s="1" t="str">
        <f aca="false">IF(IFERROR(HLOOKUP(G$2,$M$2:$BL186,$J186,FALSE()),"")="","",IFERROR(HLOOKUP(G$2,$M$2:$BL186,$J186,FALSE()),""))</f>
        <v/>
      </c>
      <c r="J186" s="1" t="n">
        <f aca="false">+J185+1</f>
        <v>185</v>
      </c>
      <c r="U186" s="1" t="s">
        <v>871</v>
      </c>
      <c r="Y186" s="10" t="n">
        <v>0</v>
      </c>
    </row>
    <row r="187" customFormat="false" ht="11.25" hidden="false" customHeight="false" outlineLevel="0" collapsed="false">
      <c r="A187" s="1" t="str">
        <f aca="false">+A149</f>
        <v>CCC and below</v>
      </c>
      <c r="B187" s="1" t="str">
        <f aca="false">IF(IFERROR(HLOOKUP(B$2,$M$2:$BL187,$J187,FALSE()),"")="","",IFERROR(HLOOKUP(B$2,$M$2:$BL187,$J187,FALSE()),""))</f>
        <v/>
      </c>
      <c r="C187" s="1" t="str">
        <f aca="false">IF(IFERROR(HLOOKUP(C$2,$M$2:$BL187,$J187,FALSE()),"")="","",IFERROR(HLOOKUP(C$2,$M$2:$BL187,$J187,FALSE()),""))</f>
        <v/>
      </c>
      <c r="D187" s="1" t="str">
        <f aca="false">IF(IFERROR(HLOOKUP(D$2,$M$2:$BL187,$J187,FALSE()),"")="","",IFERROR(HLOOKUP(D$2,$M$2:$BL187,$J187,FALSE()),""))</f>
        <v/>
      </c>
      <c r="E187" s="1" t="str">
        <f aca="false">IF(IFERROR(HLOOKUP(E$2,$M$2:$BL187,$J187,FALSE()),"")="","",IFERROR(HLOOKUP(E$2,$M$2:$BL187,$J187,FALSE()),""))</f>
        <v/>
      </c>
      <c r="F187" s="1" t="str">
        <f aca="false">IF(IFERROR(HLOOKUP(F$2,$M$2:$BL187,$J187,FALSE()),"")="","",IFERROR(HLOOKUP(F$2,$M$2:$BL187,$J187,FALSE()),""))</f>
        <v/>
      </c>
      <c r="G187" s="1" t="str">
        <f aca="false">IF(IFERROR(HLOOKUP(G$2,$M$2:$BL187,$J187,FALSE()),"")="","",IFERROR(HLOOKUP(G$2,$M$2:$BL187,$J187,FALSE()),""))</f>
        <v/>
      </c>
      <c r="J187" s="1" t="n">
        <f aca="false">+J186+1</f>
        <v>186</v>
      </c>
      <c r="U187" s="1" t="s">
        <v>103</v>
      </c>
      <c r="Y187" s="1" t="s">
        <v>103</v>
      </c>
    </row>
    <row r="188" s="14" customFormat="true" ht="11.25" hidden="false" customHeight="false" outlineLevel="0" collapsed="false">
      <c r="A188" s="13" t="str">
        <f aca="false">+A150</f>
        <v>Factor 2</v>
      </c>
      <c r="B188" s="14" t="str">
        <f aca="false">IF(IFERROR(HLOOKUP(B$2,$M$2:$BL188,$J188,FALSE()),"")="","",IFERROR(HLOOKUP(B$2,$M$2:$BL188,$J188,FALSE()),""))</f>
        <v/>
      </c>
      <c r="C188" s="13" t="str">
        <f aca="false">IF(IFERROR(HLOOKUP(C$2,$M$2:$BL188,$J188,FALSE()),"")="","",IFERROR(HLOOKUP(C$2,$M$2:$BL188,$J188,FALSE()),""))</f>
        <v/>
      </c>
      <c r="D188" s="13" t="str">
        <f aca="false">IF(IFERROR(HLOOKUP(D$2,$M$2:$BL188,$J188,FALSE()),"")="","",IFERROR(HLOOKUP(D$2,$M$2:$BL188,$J188,FALSE()),""))</f>
        <v/>
      </c>
      <c r="E188" s="13" t="str">
        <f aca="false">IF(IFERROR(HLOOKUP(E$2,$M$2:$BL188,$J188,FALSE()),"")="","",IFERROR(HLOOKUP(E$2,$M$2:$BL188,$J188,FALSE()),""))</f>
        <v/>
      </c>
      <c r="F188" s="13" t="str">
        <f aca="false">IF(IFERROR(HLOOKUP(F$2,$M$2:$BL188,$J188,FALSE()),"")="","",IFERROR(HLOOKUP(F$2,$M$2:$BL188,$J188,FALSE()),""))</f>
        <v/>
      </c>
      <c r="G188" s="13" t="str">
        <f aca="false">IF(IFERROR(HLOOKUP(G$2,$M$2:$BL188,$J188,FALSE()),"")="","",IFERROR(HLOOKUP(G$2,$M$2:$BL188,$J188,FALSE()),""))</f>
        <v/>
      </c>
      <c r="H188" s="13"/>
      <c r="J188" s="14" t="n">
        <f aca="false">+J187+1</f>
        <v>187</v>
      </c>
      <c r="U188" s="14" t="s">
        <v>872</v>
      </c>
    </row>
    <row r="189" customFormat="false" ht="11.25" hidden="false" customHeight="false" outlineLevel="0" collapsed="false">
      <c r="A189" s="1" t="str">
        <f aca="false">+A151</f>
        <v>AA and above</v>
      </c>
      <c r="B189" s="1" t="str">
        <f aca="false">IF(IFERROR(HLOOKUP(B$2,$M$2:$BL189,$J189,FALSE()),"")="","",IFERROR(HLOOKUP(B$2,$M$2:$BL189,$J189,FALSE()),""))</f>
        <v/>
      </c>
      <c r="C189" s="1" t="str">
        <f aca="false">IF(IFERROR(HLOOKUP(C$2,$M$2:$BL189,$J189,FALSE()),"")="","",IFERROR(HLOOKUP(C$2,$M$2:$BL189,$J189,FALSE()),""))</f>
        <v/>
      </c>
      <c r="D189" s="1" t="str">
        <f aca="false">IF(IFERROR(HLOOKUP(D$2,$M$2:$BL189,$J189,FALSE()),"")="","",IFERROR(HLOOKUP(D$2,$M$2:$BL189,$J189,FALSE()),""))</f>
        <v/>
      </c>
      <c r="E189" s="1" t="str">
        <f aca="false">IF(IFERROR(HLOOKUP(E$2,$M$2:$BL189,$J189,FALSE()),"")="","",IFERROR(HLOOKUP(E$2,$M$2:$BL189,$J189,FALSE()),""))</f>
        <v/>
      </c>
      <c r="F189" s="1" t="str">
        <f aca="false">IF(IFERROR(HLOOKUP(F$2,$M$2:$BL189,$J189,FALSE()),"")="","",IFERROR(HLOOKUP(F$2,$M$2:$BL189,$J189,FALSE()),""))</f>
        <v/>
      </c>
      <c r="G189" s="1" t="str">
        <f aca="false">IF(IFERROR(HLOOKUP(G$2,$M$2:$BL189,$J189,FALSE()),"")="","",IFERROR(HLOOKUP(G$2,$M$2:$BL189,$J189,FALSE()),""))</f>
        <v/>
      </c>
      <c r="J189" s="1" t="n">
        <f aca="false">+J188+1</f>
        <v>188</v>
      </c>
      <c r="U189" s="1" t="s">
        <v>224</v>
      </c>
    </row>
    <row r="190" customFormat="false" ht="11.25" hidden="false" customHeight="false" outlineLevel="0" collapsed="false">
      <c r="A190" s="1" t="str">
        <f aca="false">+A152</f>
        <v>A</v>
      </c>
      <c r="B190" s="1" t="str">
        <f aca="false">IF(IFERROR(HLOOKUP(B$2,$M$2:$BL190,$J190,FALSE()),"")="","",IFERROR(HLOOKUP(B$2,$M$2:$BL190,$J190,FALSE()),""))</f>
        <v/>
      </c>
      <c r="C190" s="1" t="str">
        <f aca="false">IF(IFERROR(HLOOKUP(C$2,$M$2:$BL190,$J190,FALSE()),"")="","",IFERROR(HLOOKUP(C$2,$M$2:$BL190,$J190,FALSE()),""))</f>
        <v/>
      </c>
      <c r="D190" s="1" t="str">
        <f aca="false">IF(IFERROR(HLOOKUP(D$2,$M$2:$BL190,$J190,FALSE()),"")="","",IFERROR(HLOOKUP(D$2,$M$2:$BL190,$J190,FALSE()),""))</f>
        <v/>
      </c>
      <c r="E190" s="1" t="str">
        <f aca="false">IF(IFERROR(HLOOKUP(E$2,$M$2:$BL190,$J190,FALSE()),"")="","",IFERROR(HLOOKUP(E$2,$M$2:$BL190,$J190,FALSE()),""))</f>
        <v/>
      </c>
      <c r="F190" s="1" t="str">
        <f aca="false">IF(IFERROR(HLOOKUP(F$2,$M$2:$BL190,$J190,FALSE()),"")="","",IFERROR(HLOOKUP(F$2,$M$2:$BL190,$J190,FALSE()),""))</f>
        <v/>
      </c>
      <c r="G190" s="1" t="str">
        <f aca="false">IF(IFERROR(HLOOKUP(G$2,$M$2:$BL190,$J190,FALSE()),"")="","",IFERROR(HLOOKUP(G$2,$M$2:$BL190,$J190,FALSE()),""))</f>
        <v/>
      </c>
      <c r="J190" s="1" t="n">
        <f aca="false">+J189+1</f>
        <v>189</v>
      </c>
      <c r="U190" s="1" t="s">
        <v>202</v>
      </c>
    </row>
    <row r="191" customFormat="false" ht="11.25" hidden="false" customHeight="false" outlineLevel="0" collapsed="false">
      <c r="A191" s="1" t="str">
        <f aca="false">+A153</f>
        <v>BBB</v>
      </c>
      <c r="B191" s="1" t="str">
        <f aca="false">IF(IFERROR(HLOOKUP(B$2,$M$2:$BL191,$J191,FALSE()),"")="","",IFERROR(HLOOKUP(B$2,$M$2:$BL191,$J191,FALSE()),""))</f>
        <v/>
      </c>
      <c r="C191" s="1" t="str">
        <f aca="false">IF(IFERROR(HLOOKUP(C$2,$M$2:$BL191,$J191,FALSE()),"")="","",IFERROR(HLOOKUP(C$2,$M$2:$BL191,$J191,FALSE()),""))</f>
        <v/>
      </c>
      <c r="D191" s="1" t="str">
        <f aca="false">IF(IFERROR(HLOOKUP(D$2,$M$2:$BL191,$J191,FALSE()),"")="","",IFERROR(HLOOKUP(D$2,$M$2:$BL191,$J191,FALSE()),""))</f>
        <v/>
      </c>
      <c r="E191" s="1" t="str">
        <f aca="false">IF(IFERROR(HLOOKUP(E$2,$M$2:$BL191,$J191,FALSE()),"")="","",IFERROR(HLOOKUP(E$2,$M$2:$BL191,$J191,FALSE()),""))</f>
        <v/>
      </c>
      <c r="F191" s="1" t="str">
        <f aca="false">IF(IFERROR(HLOOKUP(F$2,$M$2:$BL191,$J191,FALSE()),"")="","",IFERROR(HLOOKUP(F$2,$M$2:$BL191,$J191,FALSE()),""))</f>
        <v/>
      </c>
      <c r="G191" s="1" t="str">
        <f aca="false">IF(IFERROR(HLOOKUP(G$2,$M$2:$BL191,$J191,FALSE()),"")="","",IFERROR(HLOOKUP(G$2,$M$2:$BL191,$J191,FALSE()),""))</f>
        <v/>
      </c>
      <c r="J191" s="1" t="n">
        <f aca="false">+J190+1</f>
        <v>190</v>
      </c>
      <c r="U191" s="1" t="s">
        <v>873</v>
      </c>
    </row>
    <row r="192" customFormat="false" ht="11.25" hidden="false" customHeight="false" outlineLevel="0" collapsed="false">
      <c r="A192" s="1" t="str">
        <f aca="false">+A154</f>
        <v>BB</v>
      </c>
      <c r="B192" s="1" t="str">
        <f aca="false">IF(IFERROR(HLOOKUP(B$2,$M$2:$BL192,$J192,FALSE()),"")="","",IFERROR(HLOOKUP(B$2,$M$2:$BL192,$J192,FALSE()),""))</f>
        <v/>
      </c>
      <c r="C192" s="1" t="str">
        <f aca="false">IF(IFERROR(HLOOKUP(C$2,$M$2:$BL192,$J192,FALSE()),"")="","",IFERROR(HLOOKUP(C$2,$M$2:$BL192,$J192,FALSE()),""))</f>
        <v/>
      </c>
      <c r="D192" s="1" t="str">
        <f aca="false">IF(IFERROR(HLOOKUP(D$2,$M$2:$BL192,$J192,FALSE()),"")="","",IFERROR(HLOOKUP(D$2,$M$2:$BL192,$J192,FALSE()),""))</f>
        <v/>
      </c>
      <c r="E192" s="1" t="str">
        <f aca="false">IF(IFERROR(HLOOKUP(E$2,$M$2:$BL192,$J192,FALSE()),"")="","",IFERROR(HLOOKUP(E$2,$M$2:$BL192,$J192,FALSE()),""))</f>
        <v/>
      </c>
      <c r="F192" s="1" t="str">
        <f aca="false">IF(IFERROR(HLOOKUP(F$2,$M$2:$BL192,$J192,FALSE()),"")="","",IFERROR(HLOOKUP(F$2,$M$2:$BL192,$J192,FALSE()),""))</f>
        <v/>
      </c>
      <c r="G192" s="1" t="str">
        <f aca="false">IF(IFERROR(HLOOKUP(G$2,$M$2:$BL192,$J192,FALSE()),"")="","",IFERROR(HLOOKUP(G$2,$M$2:$BL192,$J192,FALSE()),""))</f>
        <v/>
      </c>
      <c r="J192" s="1" t="n">
        <f aca="false">+J191+1</f>
        <v>191</v>
      </c>
      <c r="U192" s="1" t="s">
        <v>874</v>
      </c>
    </row>
    <row r="193" customFormat="false" ht="11.25" hidden="false" customHeight="false" outlineLevel="0" collapsed="false">
      <c r="A193" s="1" t="str">
        <f aca="false">+A155</f>
        <v>B</v>
      </c>
      <c r="B193" s="1" t="str">
        <f aca="false">IF(IFERROR(HLOOKUP(B$2,$M$2:$BL193,$J193,FALSE()),"")="","",IFERROR(HLOOKUP(B$2,$M$2:$BL193,$J193,FALSE()),""))</f>
        <v/>
      </c>
      <c r="C193" s="1" t="str">
        <f aca="false">IF(IFERROR(HLOOKUP(C$2,$M$2:$BL193,$J193,FALSE()),"")="","",IFERROR(HLOOKUP(C$2,$M$2:$BL193,$J193,FALSE()),""))</f>
        <v/>
      </c>
      <c r="D193" s="1" t="str">
        <f aca="false">IF(IFERROR(HLOOKUP(D$2,$M$2:$BL193,$J193,FALSE()),"")="","",IFERROR(HLOOKUP(D$2,$M$2:$BL193,$J193,FALSE()),""))</f>
        <v/>
      </c>
      <c r="E193" s="1" t="str">
        <f aca="false">IF(IFERROR(HLOOKUP(E$2,$M$2:$BL193,$J193,FALSE()),"")="","",IFERROR(HLOOKUP(E$2,$M$2:$BL193,$J193,FALSE()),""))</f>
        <v/>
      </c>
      <c r="F193" s="1" t="str">
        <f aca="false">IF(IFERROR(HLOOKUP(F$2,$M$2:$BL193,$J193,FALSE()),"")="","",IFERROR(HLOOKUP(F$2,$M$2:$BL193,$J193,FALSE()),""))</f>
        <v/>
      </c>
      <c r="G193" s="1" t="str">
        <f aca="false">IF(IFERROR(HLOOKUP(G$2,$M$2:$BL193,$J193,FALSE()),"")="","",IFERROR(HLOOKUP(G$2,$M$2:$BL193,$J193,FALSE()),""))</f>
        <v/>
      </c>
      <c r="J193" s="1" t="n">
        <f aca="false">+J192+1</f>
        <v>192</v>
      </c>
      <c r="U193" s="1" t="s">
        <v>875</v>
      </c>
    </row>
    <row r="194" customFormat="false" ht="11.25" hidden="false" customHeight="false" outlineLevel="0" collapsed="false">
      <c r="A194" s="1" t="str">
        <f aca="false">+A156</f>
        <v>CCC and below</v>
      </c>
      <c r="B194" s="1" t="str">
        <f aca="false">IF(IFERROR(HLOOKUP(B$2,$M$2:$BL194,$J194,FALSE()),"")="","",IFERROR(HLOOKUP(B$2,$M$2:$BL194,$J194,FALSE()),""))</f>
        <v/>
      </c>
      <c r="C194" s="1" t="str">
        <f aca="false">IF(IFERROR(HLOOKUP(C$2,$M$2:$BL194,$J194,FALSE()),"")="","",IFERROR(HLOOKUP(C$2,$M$2:$BL194,$J194,FALSE()),""))</f>
        <v/>
      </c>
      <c r="D194" s="1" t="str">
        <f aca="false">IF(IFERROR(HLOOKUP(D$2,$M$2:$BL194,$J194,FALSE()),"")="","",IFERROR(HLOOKUP(D$2,$M$2:$BL194,$J194,FALSE()),""))</f>
        <v/>
      </c>
      <c r="E194" s="1" t="str">
        <f aca="false">IF(IFERROR(HLOOKUP(E$2,$M$2:$BL194,$J194,FALSE()),"")="","",IFERROR(HLOOKUP(E$2,$M$2:$BL194,$J194,FALSE()),""))</f>
        <v/>
      </c>
      <c r="F194" s="1" t="str">
        <f aca="false">IF(IFERROR(HLOOKUP(F$2,$M$2:$BL194,$J194,FALSE()),"")="","",IFERROR(HLOOKUP(F$2,$M$2:$BL194,$J194,FALSE()),""))</f>
        <v/>
      </c>
      <c r="G194" s="1" t="str">
        <f aca="false">IF(IFERROR(HLOOKUP(G$2,$M$2:$BL194,$J194,FALSE()),"")="","",IFERROR(HLOOKUP(G$2,$M$2:$BL194,$J194,FALSE()),""))</f>
        <v/>
      </c>
      <c r="J194" s="1" t="n">
        <f aca="false">+J193+1</f>
        <v>193</v>
      </c>
      <c r="U194" s="1" t="s">
        <v>103</v>
      </c>
    </row>
    <row r="195" s="14" customFormat="true" ht="11.25" hidden="false" customHeight="false" outlineLevel="0" collapsed="false">
      <c r="A195" s="13" t="str">
        <f aca="false">+A157</f>
        <v>Factor 3</v>
      </c>
      <c r="B195" s="14" t="str">
        <f aca="false">IF(IFERROR(HLOOKUP(B$2,$M$2:$BL195,$J195,FALSE()),"")="","",IFERROR(HLOOKUP(B$2,$M$2:$BL195,$J195,FALSE()),""))</f>
        <v/>
      </c>
      <c r="C195" s="13" t="str">
        <f aca="false">IF(IFERROR(HLOOKUP(C$2,$M$2:$BL195,$J195,FALSE()),"")="","",IFERROR(HLOOKUP(C$2,$M$2:$BL195,$J195,FALSE()),""))</f>
        <v/>
      </c>
      <c r="D195" s="13" t="str">
        <f aca="false">IF(IFERROR(HLOOKUP(D$2,$M$2:$BL195,$J195,FALSE()),"")="","",IFERROR(HLOOKUP(D$2,$M$2:$BL195,$J195,FALSE()),""))</f>
        <v/>
      </c>
      <c r="E195" s="13" t="str">
        <f aca="false">IF(IFERROR(HLOOKUP(E$2,$M$2:$BL195,$J195,FALSE()),"")="","",IFERROR(HLOOKUP(E$2,$M$2:$BL195,$J195,FALSE()),""))</f>
        <v/>
      </c>
      <c r="F195" s="13" t="str">
        <f aca="false">IF(IFERROR(HLOOKUP(F$2,$M$2:$BL195,$J195,FALSE()),"")="","",IFERROR(HLOOKUP(F$2,$M$2:$BL195,$J195,FALSE()),""))</f>
        <v/>
      </c>
      <c r="G195" s="13" t="str">
        <f aca="false">IF(IFERROR(HLOOKUP(G$2,$M$2:$BL195,$J195,FALSE()),"")="","",IFERROR(HLOOKUP(G$2,$M$2:$BL195,$J195,FALSE()),""))</f>
        <v/>
      </c>
      <c r="H195" s="13"/>
      <c r="J195" s="14" t="n">
        <f aca="false">+J194+1</f>
        <v>194</v>
      </c>
      <c r="U195" s="14" t="s">
        <v>876</v>
      </c>
    </row>
    <row r="196" customFormat="false" ht="11.25" hidden="false" customHeight="false" outlineLevel="0" collapsed="false">
      <c r="A196" s="1" t="str">
        <f aca="false">+A158</f>
        <v>AA and above</v>
      </c>
      <c r="B196" s="1" t="str">
        <f aca="false">IF(IFERROR(HLOOKUP(B$2,$M$2:$BL196,$J196,FALSE()),"")="","",IFERROR(HLOOKUP(B$2,$M$2:$BL196,$J196,FALSE()),""))</f>
        <v/>
      </c>
      <c r="C196" s="1" t="str">
        <f aca="false">IF(IFERROR(HLOOKUP(C$2,$M$2:$BL196,$J196,FALSE()),"")="","",IFERROR(HLOOKUP(C$2,$M$2:$BL196,$J196,FALSE()),""))</f>
        <v/>
      </c>
      <c r="D196" s="1" t="str">
        <f aca="false">IF(IFERROR(HLOOKUP(D$2,$M$2:$BL196,$J196,FALSE()),"")="","",IFERROR(HLOOKUP(D$2,$M$2:$BL196,$J196,FALSE()),""))</f>
        <v/>
      </c>
      <c r="E196" s="1" t="str">
        <f aca="false">IF(IFERROR(HLOOKUP(E$2,$M$2:$BL196,$J196,FALSE()),"")="","",IFERROR(HLOOKUP(E$2,$M$2:$BL196,$J196,FALSE()),""))</f>
        <v/>
      </c>
      <c r="F196" s="1" t="str">
        <f aca="false">IF(IFERROR(HLOOKUP(F$2,$M$2:$BL196,$J196,FALSE()),"")="","",IFERROR(HLOOKUP(F$2,$M$2:$BL196,$J196,FALSE()),""))</f>
        <v/>
      </c>
      <c r="G196" s="1" t="str">
        <f aca="false">IF(IFERROR(HLOOKUP(G$2,$M$2:$BL196,$J196,FALSE()),"")="","",IFERROR(HLOOKUP(G$2,$M$2:$BL196,$J196,FALSE()),""))</f>
        <v/>
      </c>
      <c r="J196" s="1" t="n">
        <f aca="false">+J195+1</f>
        <v>195</v>
      </c>
      <c r="U196" s="1" t="s">
        <v>224</v>
      </c>
    </row>
    <row r="197" customFormat="false" ht="11.25" hidden="false" customHeight="false" outlineLevel="0" collapsed="false">
      <c r="A197" s="1" t="str">
        <f aca="false">+A159</f>
        <v>A</v>
      </c>
      <c r="B197" s="1" t="str">
        <f aca="false">IF(IFERROR(HLOOKUP(B$2,$M$2:$BL197,$J197,FALSE()),"")="","",IFERROR(HLOOKUP(B$2,$M$2:$BL197,$J197,FALSE()),""))</f>
        <v/>
      </c>
      <c r="C197" s="1" t="str">
        <f aca="false">IF(IFERROR(HLOOKUP(C$2,$M$2:$BL197,$J197,FALSE()),"")="","",IFERROR(HLOOKUP(C$2,$M$2:$BL197,$J197,FALSE()),""))</f>
        <v/>
      </c>
      <c r="D197" s="1" t="str">
        <f aca="false">IF(IFERROR(HLOOKUP(D$2,$M$2:$BL197,$J197,FALSE()),"")="","",IFERROR(HLOOKUP(D$2,$M$2:$BL197,$J197,FALSE()),""))</f>
        <v/>
      </c>
      <c r="E197" s="1" t="str">
        <f aca="false">IF(IFERROR(HLOOKUP(E$2,$M$2:$BL197,$J197,FALSE()),"")="","",IFERROR(HLOOKUP(E$2,$M$2:$BL197,$J197,FALSE()),""))</f>
        <v/>
      </c>
      <c r="F197" s="1" t="str">
        <f aca="false">IF(IFERROR(HLOOKUP(F$2,$M$2:$BL197,$J197,FALSE()),"")="","",IFERROR(HLOOKUP(F$2,$M$2:$BL197,$J197,FALSE()),""))</f>
        <v/>
      </c>
      <c r="G197" s="1" t="str">
        <f aca="false">IF(IFERROR(HLOOKUP(G$2,$M$2:$BL197,$J197,FALSE()),"")="","",IFERROR(HLOOKUP(G$2,$M$2:$BL197,$J197,FALSE()),""))</f>
        <v/>
      </c>
      <c r="J197" s="1" t="n">
        <f aca="false">+J196+1</f>
        <v>196</v>
      </c>
      <c r="U197" s="1" t="s">
        <v>202</v>
      </c>
    </row>
    <row r="198" customFormat="false" ht="11.25" hidden="false" customHeight="false" outlineLevel="0" collapsed="false">
      <c r="A198" s="1" t="str">
        <f aca="false">+A160</f>
        <v>BBB</v>
      </c>
      <c r="B198" s="1" t="str">
        <f aca="false">IF(IFERROR(HLOOKUP(B$2,$M$2:$BL198,$J198,FALSE()),"")="","",IFERROR(HLOOKUP(B$2,$M$2:$BL198,$J198,FALSE()),""))</f>
        <v/>
      </c>
      <c r="C198" s="1" t="str">
        <f aca="false">IF(IFERROR(HLOOKUP(C$2,$M$2:$BL198,$J198,FALSE()),"")="","",IFERROR(HLOOKUP(C$2,$M$2:$BL198,$J198,FALSE()),""))</f>
        <v/>
      </c>
      <c r="D198" s="1" t="str">
        <f aca="false">IF(IFERROR(HLOOKUP(D$2,$M$2:$BL198,$J198,FALSE()),"")="","",IFERROR(HLOOKUP(D$2,$M$2:$BL198,$J198,FALSE()),""))</f>
        <v/>
      </c>
      <c r="E198" s="1" t="str">
        <f aca="false">IF(IFERROR(HLOOKUP(E$2,$M$2:$BL198,$J198,FALSE()),"")="","",IFERROR(HLOOKUP(E$2,$M$2:$BL198,$J198,FALSE()),""))</f>
        <v/>
      </c>
      <c r="F198" s="1" t="str">
        <f aca="false">IF(IFERROR(HLOOKUP(F$2,$M$2:$BL198,$J198,FALSE()),"")="","",IFERROR(HLOOKUP(F$2,$M$2:$BL198,$J198,FALSE()),""))</f>
        <v/>
      </c>
      <c r="G198" s="1" t="str">
        <f aca="false">IF(IFERROR(HLOOKUP(G$2,$M$2:$BL198,$J198,FALSE()),"")="","",IFERROR(HLOOKUP(G$2,$M$2:$BL198,$J198,FALSE()),""))</f>
        <v/>
      </c>
      <c r="J198" s="1" t="n">
        <f aca="false">+J197+1</f>
        <v>197</v>
      </c>
      <c r="U198" s="1" t="s">
        <v>419</v>
      </c>
    </row>
    <row r="199" customFormat="false" ht="11.25" hidden="false" customHeight="false" outlineLevel="0" collapsed="false">
      <c r="A199" s="1" t="str">
        <f aca="false">+A161</f>
        <v>BB</v>
      </c>
      <c r="B199" s="1" t="str">
        <f aca="false">IF(IFERROR(HLOOKUP(B$2,$M$2:$BL199,$J199,FALSE()),"")="","",IFERROR(HLOOKUP(B$2,$M$2:$BL199,$J199,FALSE()),""))</f>
        <v/>
      </c>
      <c r="C199" s="1" t="str">
        <f aca="false">IF(IFERROR(HLOOKUP(C$2,$M$2:$BL199,$J199,FALSE()),"")="","",IFERROR(HLOOKUP(C$2,$M$2:$BL199,$J199,FALSE()),""))</f>
        <v/>
      </c>
      <c r="D199" s="1" t="str">
        <f aca="false">IF(IFERROR(HLOOKUP(D$2,$M$2:$BL199,$J199,FALSE()),"")="","",IFERROR(HLOOKUP(D$2,$M$2:$BL199,$J199,FALSE()),""))</f>
        <v/>
      </c>
      <c r="E199" s="1" t="str">
        <f aca="false">IF(IFERROR(HLOOKUP(E$2,$M$2:$BL199,$J199,FALSE()),"")="","",IFERROR(HLOOKUP(E$2,$M$2:$BL199,$J199,FALSE()),""))</f>
        <v/>
      </c>
      <c r="F199" s="1" t="str">
        <f aca="false">IF(IFERROR(HLOOKUP(F$2,$M$2:$BL199,$J199,FALSE()),"")="","",IFERROR(HLOOKUP(F$2,$M$2:$BL199,$J199,FALSE()),""))</f>
        <v/>
      </c>
      <c r="G199" s="1" t="str">
        <f aca="false">IF(IFERROR(HLOOKUP(G$2,$M$2:$BL199,$J199,FALSE()),"")="","",IFERROR(HLOOKUP(G$2,$M$2:$BL199,$J199,FALSE()),""))</f>
        <v/>
      </c>
      <c r="J199" s="1" t="n">
        <f aca="false">+J198+1</f>
        <v>198</v>
      </c>
      <c r="U199" s="1" t="s">
        <v>429</v>
      </c>
    </row>
    <row r="200" customFormat="false" ht="11.25" hidden="false" customHeight="false" outlineLevel="0" collapsed="false">
      <c r="A200" s="1" t="str">
        <f aca="false">+A162</f>
        <v>B</v>
      </c>
      <c r="B200" s="1" t="str">
        <f aca="false">IF(IFERROR(HLOOKUP(B$2,$M$2:$BL200,$J200,FALSE()),"")="","",IFERROR(HLOOKUP(B$2,$M$2:$BL200,$J200,FALSE()),""))</f>
        <v/>
      </c>
      <c r="C200" s="1" t="str">
        <f aca="false">IF(IFERROR(HLOOKUP(C$2,$M$2:$BL200,$J200,FALSE()),"")="","",IFERROR(HLOOKUP(C$2,$M$2:$BL200,$J200,FALSE()),""))</f>
        <v/>
      </c>
      <c r="D200" s="1" t="str">
        <f aca="false">IF(IFERROR(HLOOKUP(D$2,$M$2:$BL200,$J200,FALSE()),"")="","",IFERROR(HLOOKUP(D$2,$M$2:$BL200,$J200,FALSE()),""))</f>
        <v/>
      </c>
      <c r="E200" s="1" t="str">
        <f aca="false">IF(IFERROR(HLOOKUP(E$2,$M$2:$BL200,$J200,FALSE()),"")="","",IFERROR(HLOOKUP(E$2,$M$2:$BL200,$J200,FALSE()),""))</f>
        <v/>
      </c>
      <c r="F200" s="1" t="str">
        <f aca="false">IF(IFERROR(HLOOKUP(F$2,$M$2:$BL200,$J200,FALSE()),"")="","",IFERROR(HLOOKUP(F$2,$M$2:$BL200,$J200,FALSE()),""))</f>
        <v/>
      </c>
      <c r="G200" s="1" t="str">
        <f aca="false">IF(IFERROR(HLOOKUP(G$2,$M$2:$BL200,$J200,FALSE()),"")="","",IFERROR(HLOOKUP(G$2,$M$2:$BL200,$J200,FALSE()),""))</f>
        <v/>
      </c>
      <c r="J200" s="1" t="n">
        <f aca="false">+J199+1</f>
        <v>199</v>
      </c>
      <c r="U200" s="1" t="s">
        <v>835</v>
      </c>
    </row>
    <row r="201" customFormat="false" ht="11.25" hidden="false" customHeight="false" outlineLevel="0" collapsed="false">
      <c r="A201" s="1" t="str">
        <f aca="false">+A163</f>
        <v>CCC and below</v>
      </c>
      <c r="B201" s="1" t="str">
        <f aca="false">IF(IFERROR(HLOOKUP(B$2,$M$2:$BL201,$J201,FALSE()),"")="","",IFERROR(HLOOKUP(B$2,$M$2:$BL201,$J201,FALSE()),""))</f>
        <v/>
      </c>
      <c r="C201" s="1" t="str">
        <f aca="false">IF(IFERROR(HLOOKUP(C$2,$M$2:$BL201,$J201,FALSE()),"")="","",IFERROR(HLOOKUP(C$2,$M$2:$BL201,$J201,FALSE()),""))</f>
        <v/>
      </c>
      <c r="D201" s="1" t="str">
        <f aca="false">IF(IFERROR(HLOOKUP(D$2,$M$2:$BL201,$J201,FALSE()),"")="","",IFERROR(HLOOKUP(D$2,$M$2:$BL201,$J201,FALSE()),""))</f>
        <v/>
      </c>
      <c r="E201" s="1" t="str">
        <f aca="false">IF(IFERROR(HLOOKUP(E$2,$M$2:$BL201,$J201,FALSE()),"")="","",IFERROR(HLOOKUP(E$2,$M$2:$BL201,$J201,FALSE()),""))</f>
        <v/>
      </c>
      <c r="F201" s="1" t="str">
        <f aca="false">IF(IFERROR(HLOOKUP(F$2,$M$2:$BL201,$J201,FALSE()),"")="","",IFERROR(HLOOKUP(F$2,$M$2:$BL201,$J201,FALSE()),""))</f>
        <v/>
      </c>
      <c r="G201" s="1" t="str">
        <f aca="false">IF(IFERROR(HLOOKUP(G$2,$M$2:$BL201,$J201,FALSE()),"")="","",IFERROR(HLOOKUP(G$2,$M$2:$BL201,$J201,FALSE()),""))</f>
        <v/>
      </c>
      <c r="J201" s="1" t="n">
        <f aca="false">+J200+1</f>
        <v>200</v>
      </c>
      <c r="U201" s="1" t="s">
        <v>103</v>
      </c>
    </row>
    <row r="202" s="14" customFormat="true" ht="11.25" hidden="false" customHeight="false" outlineLevel="0" collapsed="false">
      <c r="A202" s="13" t="str">
        <f aca="false">+A164</f>
        <v>Factor 4</v>
      </c>
      <c r="B202" s="14" t="str">
        <f aca="false">IF(IFERROR(HLOOKUP(B$2,$M$2:$BL202,$J202,FALSE()),"")="","",IFERROR(HLOOKUP(B$2,$M$2:$BL202,$J202,FALSE()),""))</f>
        <v/>
      </c>
      <c r="C202" s="13" t="str">
        <f aca="false">IF(IFERROR(HLOOKUP(C$2,$M$2:$BL202,$J202,FALSE()),"")="","",IFERROR(HLOOKUP(C$2,$M$2:$BL202,$J202,FALSE()),""))</f>
        <v/>
      </c>
      <c r="D202" s="13" t="str">
        <f aca="false">IF(IFERROR(HLOOKUP(D$2,$M$2:$BL202,$J202,FALSE()),"")="","",IFERROR(HLOOKUP(D$2,$M$2:$BL202,$J202,FALSE()),""))</f>
        <v/>
      </c>
      <c r="E202" s="13" t="str">
        <f aca="false">IF(IFERROR(HLOOKUP(E$2,$M$2:$BL202,$J202,FALSE()),"")="","",IFERROR(HLOOKUP(E$2,$M$2:$BL202,$J202,FALSE()),""))</f>
        <v/>
      </c>
      <c r="F202" s="13" t="str">
        <f aca="false">IF(IFERROR(HLOOKUP(F$2,$M$2:$BL202,$J202,FALSE()),"")="","",IFERROR(HLOOKUP(F$2,$M$2:$BL202,$J202,FALSE()),""))</f>
        <v/>
      </c>
      <c r="G202" s="13" t="str">
        <f aca="false">IF(IFERROR(HLOOKUP(G$2,$M$2:$BL202,$J202,FALSE()),"")="","",IFERROR(HLOOKUP(G$2,$M$2:$BL202,$J202,FALSE()),""))</f>
        <v/>
      </c>
      <c r="H202" s="13"/>
      <c r="J202" s="14" t="n">
        <f aca="false">+J201+1</f>
        <v>201</v>
      </c>
      <c r="U202" s="14" t="s">
        <v>877</v>
      </c>
    </row>
    <row r="203" customFormat="false" ht="11.25" hidden="false" customHeight="false" outlineLevel="0" collapsed="false">
      <c r="A203" s="1" t="str">
        <f aca="false">+A165</f>
        <v>AA and above</v>
      </c>
      <c r="B203" s="1" t="str">
        <f aca="false">IF(IFERROR(HLOOKUP(B$2,$M$2:$BL203,$J203,FALSE()),"")="","",IFERROR(HLOOKUP(B$2,$M$2:$BL203,$J203,FALSE()),""))</f>
        <v/>
      </c>
      <c r="C203" s="1" t="str">
        <f aca="false">IF(IFERROR(HLOOKUP(C$2,$M$2:$BL203,$J203,FALSE()),"")="","",IFERROR(HLOOKUP(C$2,$M$2:$BL203,$J203,FALSE()),""))</f>
        <v/>
      </c>
      <c r="D203" s="1" t="str">
        <f aca="false">IF(IFERROR(HLOOKUP(D$2,$M$2:$BL203,$J203,FALSE()),"")="","",IFERROR(HLOOKUP(D$2,$M$2:$BL203,$J203,FALSE()),""))</f>
        <v/>
      </c>
      <c r="E203" s="1" t="str">
        <f aca="false">IF(IFERROR(HLOOKUP(E$2,$M$2:$BL203,$J203,FALSE()),"")="","",IFERROR(HLOOKUP(E$2,$M$2:$BL203,$J203,FALSE()),""))</f>
        <v/>
      </c>
      <c r="F203" s="1" t="str">
        <f aca="false">IF(IFERROR(HLOOKUP(F$2,$M$2:$BL203,$J203,FALSE()),"")="","",IFERROR(HLOOKUP(F$2,$M$2:$BL203,$J203,FALSE()),""))</f>
        <v/>
      </c>
      <c r="G203" s="1" t="str">
        <f aca="false">IF(IFERROR(HLOOKUP(G$2,$M$2:$BL203,$J203,FALSE()),"")="","",IFERROR(HLOOKUP(G$2,$M$2:$BL203,$J203,FALSE()),""))</f>
        <v/>
      </c>
      <c r="J203" s="1" t="n">
        <f aca="false">+J202+1</f>
        <v>202</v>
      </c>
      <c r="U203" s="1" t="s">
        <v>412</v>
      </c>
    </row>
    <row r="204" customFormat="false" ht="11.25" hidden="false" customHeight="false" outlineLevel="0" collapsed="false">
      <c r="A204" s="1" t="str">
        <f aca="false">+A166</f>
        <v>A</v>
      </c>
      <c r="B204" s="1" t="str">
        <f aca="false">IF(IFERROR(HLOOKUP(B$2,$M$2:$BL204,$J204,FALSE()),"")="","",IFERROR(HLOOKUP(B$2,$M$2:$BL204,$J204,FALSE()),""))</f>
        <v/>
      </c>
      <c r="C204" s="1" t="str">
        <f aca="false">IF(IFERROR(HLOOKUP(C$2,$M$2:$BL204,$J204,FALSE()),"")="","",IFERROR(HLOOKUP(C$2,$M$2:$BL204,$J204,FALSE()),""))</f>
        <v/>
      </c>
      <c r="D204" s="1" t="str">
        <f aca="false">IF(IFERROR(HLOOKUP(D$2,$M$2:$BL204,$J204,FALSE()),"")="","",IFERROR(HLOOKUP(D$2,$M$2:$BL204,$J204,FALSE()),""))</f>
        <v/>
      </c>
      <c r="E204" s="1" t="str">
        <f aca="false">IF(IFERROR(HLOOKUP(E$2,$M$2:$BL204,$J204,FALSE()),"")="","",IFERROR(HLOOKUP(E$2,$M$2:$BL204,$J204,FALSE()),""))</f>
        <v/>
      </c>
      <c r="F204" s="1" t="str">
        <f aca="false">IF(IFERROR(HLOOKUP(F$2,$M$2:$BL204,$J204,FALSE()),"")="","",IFERROR(HLOOKUP(F$2,$M$2:$BL204,$J204,FALSE()),""))</f>
        <v/>
      </c>
      <c r="G204" s="1" t="str">
        <f aca="false">IF(IFERROR(HLOOKUP(G$2,$M$2:$BL204,$J204,FALSE()),"")="","",IFERROR(HLOOKUP(G$2,$M$2:$BL204,$J204,FALSE()),""))</f>
        <v/>
      </c>
      <c r="J204" s="1" t="n">
        <f aca="false">+J203+1</f>
        <v>203</v>
      </c>
      <c r="U204" s="1" t="s">
        <v>878</v>
      </c>
    </row>
    <row r="205" customFormat="false" ht="11.25" hidden="false" customHeight="false" outlineLevel="0" collapsed="false">
      <c r="A205" s="1" t="str">
        <f aca="false">+A167</f>
        <v>BBB</v>
      </c>
      <c r="B205" s="1" t="str">
        <f aca="false">IF(IFERROR(HLOOKUP(B$2,$M$2:$BL205,$J205,FALSE()),"")="","",IFERROR(HLOOKUP(B$2,$M$2:$BL205,$J205,FALSE()),""))</f>
        <v/>
      </c>
      <c r="C205" s="1" t="str">
        <f aca="false">IF(IFERROR(HLOOKUP(C$2,$M$2:$BL205,$J205,FALSE()),"")="","",IFERROR(HLOOKUP(C$2,$M$2:$BL205,$J205,FALSE()),""))</f>
        <v/>
      </c>
      <c r="D205" s="1" t="str">
        <f aca="false">IF(IFERROR(HLOOKUP(D$2,$M$2:$BL205,$J205,FALSE()),"")="","",IFERROR(HLOOKUP(D$2,$M$2:$BL205,$J205,FALSE()),""))</f>
        <v/>
      </c>
      <c r="E205" s="1" t="str">
        <f aca="false">IF(IFERROR(HLOOKUP(E$2,$M$2:$BL205,$J205,FALSE()),"")="","",IFERROR(HLOOKUP(E$2,$M$2:$BL205,$J205,FALSE()),""))</f>
        <v/>
      </c>
      <c r="F205" s="1" t="str">
        <f aca="false">IF(IFERROR(HLOOKUP(F$2,$M$2:$BL205,$J205,FALSE()),"")="","",IFERROR(HLOOKUP(F$2,$M$2:$BL205,$J205,FALSE()),""))</f>
        <v/>
      </c>
      <c r="G205" s="1" t="str">
        <f aca="false">IF(IFERROR(HLOOKUP(G$2,$M$2:$BL205,$J205,FALSE()),"")="","",IFERROR(HLOOKUP(G$2,$M$2:$BL205,$J205,FALSE()),""))</f>
        <v/>
      </c>
      <c r="J205" s="1" t="n">
        <f aca="false">+J204+1</f>
        <v>204</v>
      </c>
      <c r="U205" s="1" t="s">
        <v>879</v>
      </c>
    </row>
    <row r="206" customFormat="false" ht="11.25" hidden="false" customHeight="false" outlineLevel="0" collapsed="false">
      <c r="A206" s="1" t="str">
        <f aca="false">+A168</f>
        <v>BB</v>
      </c>
      <c r="B206" s="1" t="str">
        <f aca="false">IF(IFERROR(HLOOKUP(B$2,$M$2:$BL206,$J206,FALSE()),"")="","",IFERROR(HLOOKUP(B$2,$M$2:$BL206,$J206,FALSE()),""))</f>
        <v/>
      </c>
      <c r="C206" s="1" t="str">
        <f aca="false">IF(IFERROR(HLOOKUP(C$2,$M$2:$BL206,$J206,FALSE()),"")="","",IFERROR(HLOOKUP(C$2,$M$2:$BL206,$J206,FALSE()),""))</f>
        <v/>
      </c>
      <c r="D206" s="1" t="str">
        <f aca="false">IF(IFERROR(HLOOKUP(D$2,$M$2:$BL206,$J206,FALSE()),"")="","",IFERROR(HLOOKUP(D$2,$M$2:$BL206,$J206,FALSE()),""))</f>
        <v/>
      </c>
      <c r="E206" s="1" t="str">
        <f aca="false">IF(IFERROR(HLOOKUP(E$2,$M$2:$BL206,$J206,FALSE()),"")="","",IFERROR(HLOOKUP(E$2,$M$2:$BL206,$J206,FALSE()),""))</f>
        <v/>
      </c>
      <c r="F206" s="1" t="str">
        <f aca="false">IF(IFERROR(HLOOKUP(F$2,$M$2:$BL206,$J206,FALSE()),"")="","",IFERROR(HLOOKUP(F$2,$M$2:$BL206,$J206,FALSE()),""))</f>
        <v/>
      </c>
      <c r="G206" s="1" t="str">
        <f aca="false">IF(IFERROR(HLOOKUP(G$2,$M$2:$BL206,$J206,FALSE()),"")="","",IFERROR(HLOOKUP(G$2,$M$2:$BL206,$J206,FALSE()),""))</f>
        <v/>
      </c>
      <c r="J206" s="1" t="n">
        <f aca="false">+J205+1</f>
        <v>205</v>
      </c>
      <c r="U206" s="1" t="s">
        <v>849</v>
      </c>
    </row>
    <row r="207" customFormat="false" ht="11.25" hidden="false" customHeight="false" outlineLevel="0" collapsed="false">
      <c r="A207" s="1" t="str">
        <f aca="false">+A169</f>
        <v>B</v>
      </c>
      <c r="B207" s="1" t="str">
        <f aca="false">IF(IFERROR(HLOOKUP(B$2,$M$2:$BL207,$J207,FALSE()),"")="","",IFERROR(HLOOKUP(B$2,$M$2:$BL207,$J207,FALSE()),""))</f>
        <v/>
      </c>
      <c r="C207" s="1" t="str">
        <f aca="false">IF(IFERROR(HLOOKUP(C$2,$M$2:$BL207,$J207,FALSE()),"")="","",IFERROR(HLOOKUP(C$2,$M$2:$BL207,$J207,FALSE()),""))</f>
        <v/>
      </c>
      <c r="D207" s="1" t="str">
        <f aca="false">IF(IFERROR(HLOOKUP(D$2,$M$2:$BL207,$J207,FALSE()),"")="","",IFERROR(HLOOKUP(D$2,$M$2:$BL207,$J207,FALSE()),""))</f>
        <v/>
      </c>
      <c r="E207" s="1" t="str">
        <f aca="false">IF(IFERROR(HLOOKUP(E$2,$M$2:$BL207,$J207,FALSE()),"")="","",IFERROR(HLOOKUP(E$2,$M$2:$BL207,$J207,FALSE()),""))</f>
        <v/>
      </c>
      <c r="F207" s="1" t="str">
        <f aca="false">IF(IFERROR(HLOOKUP(F$2,$M$2:$BL207,$J207,FALSE()),"")="","",IFERROR(HLOOKUP(F$2,$M$2:$BL207,$J207,FALSE()),""))</f>
        <v/>
      </c>
      <c r="G207" s="1" t="str">
        <f aca="false">IF(IFERROR(HLOOKUP(G$2,$M$2:$BL207,$J207,FALSE()),"")="","",IFERROR(HLOOKUP(G$2,$M$2:$BL207,$J207,FALSE()),""))</f>
        <v/>
      </c>
      <c r="J207" s="1" t="n">
        <f aca="false">+J206+1</f>
        <v>206</v>
      </c>
      <c r="U207" s="1" t="s">
        <v>548</v>
      </c>
    </row>
    <row r="208" customFormat="false" ht="11.25" hidden="false" customHeight="false" outlineLevel="0" collapsed="false">
      <c r="A208" s="1" t="str">
        <f aca="false">+A170</f>
        <v>CCC and below</v>
      </c>
      <c r="B208" s="1" t="str">
        <f aca="false">IF(IFERROR(HLOOKUP(B$2,$M$2:$BL208,$J208,FALSE()),"")="","",IFERROR(HLOOKUP(B$2,$M$2:$BL208,$J208,FALSE()),""))</f>
        <v/>
      </c>
      <c r="C208" s="1" t="str">
        <f aca="false">IF(IFERROR(HLOOKUP(C$2,$M$2:$BL208,$J208,FALSE()),"")="","",IFERROR(HLOOKUP(C$2,$M$2:$BL208,$J208,FALSE()),""))</f>
        <v/>
      </c>
      <c r="D208" s="1" t="str">
        <f aca="false">IF(IFERROR(HLOOKUP(D$2,$M$2:$BL208,$J208,FALSE()),"")="","",IFERROR(HLOOKUP(D$2,$M$2:$BL208,$J208,FALSE()),""))</f>
        <v/>
      </c>
      <c r="E208" s="1" t="str">
        <f aca="false">IF(IFERROR(HLOOKUP(E$2,$M$2:$BL208,$J208,FALSE()),"")="","",IFERROR(HLOOKUP(E$2,$M$2:$BL208,$J208,FALSE()),""))</f>
        <v/>
      </c>
      <c r="F208" s="1" t="str">
        <f aca="false">IF(IFERROR(HLOOKUP(F$2,$M$2:$BL208,$J208,FALSE()),"")="","",IFERROR(HLOOKUP(F$2,$M$2:$BL208,$J208,FALSE()),""))</f>
        <v/>
      </c>
      <c r="G208" s="1" t="str">
        <f aca="false">IF(IFERROR(HLOOKUP(G$2,$M$2:$BL208,$J208,FALSE()),"")="","",IFERROR(HLOOKUP(G$2,$M$2:$BL208,$J208,FALSE()),""))</f>
        <v/>
      </c>
      <c r="J208" s="1" t="n">
        <f aca="false">+J207+1</f>
        <v>207</v>
      </c>
      <c r="U208" s="1" t="s">
        <v>103</v>
      </c>
    </row>
    <row r="209" s="14" customFormat="true" ht="11.25" hidden="false" customHeight="false" outlineLevel="0" collapsed="false">
      <c r="A209" s="13" t="str">
        <f aca="false">+A171</f>
        <v>Factor 5</v>
      </c>
      <c r="B209" s="14" t="str">
        <f aca="false">IF(IFERROR(HLOOKUP(B$2,$M$2:$BL209,$J209,FALSE()),"")="","",IFERROR(HLOOKUP(B$2,$M$2:$BL209,$J209,FALSE()),""))</f>
        <v/>
      </c>
      <c r="C209" s="13" t="str">
        <f aca="false">IF(IFERROR(HLOOKUP(C$2,$M$2:$BL209,$J209,FALSE()),"")="","",IFERROR(HLOOKUP(C$2,$M$2:$BL209,$J209,FALSE()),""))</f>
        <v/>
      </c>
      <c r="D209" s="13" t="str">
        <f aca="false">IF(IFERROR(HLOOKUP(D$2,$M$2:$BL209,$J209,FALSE()),"")="","",IFERROR(HLOOKUP(D$2,$M$2:$BL209,$J209,FALSE()),""))</f>
        <v/>
      </c>
      <c r="E209" s="13" t="str">
        <f aca="false">IF(IFERROR(HLOOKUP(E$2,$M$2:$BL209,$J209,FALSE()),"")="","",IFERROR(HLOOKUP(E$2,$M$2:$BL209,$J209,FALSE()),""))</f>
        <v/>
      </c>
      <c r="F209" s="13" t="str">
        <f aca="false">IF(IFERROR(HLOOKUP(F$2,$M$2:$BL209,$J209,FALSE()),"")="","",IFERROR(HLOOKUP(F$2,$M$2:$BL209,$J209,FALSE()),""))</f>
        <v/>
      </c>
      <c r="G209" s="13" t="str">
        <f aca="false">IF(IFERROR(HLOOKUP(G$2,$M$2:$BL209,$J209,FALSE()),"")="","",IFERROR(HLOOKUP(G$2,$M$2:$BL209,$J209,FALSE()),""))</f>
        <v/>
      </c>
      <c r="H209" s="13"/>
      <c r="J209" s="14" t="n">
        <f aca="false">+J208+1</f>
        <v>208</v>
      </c>
    </row>
    <row r="210" customFormat="false" ht="11.25" hidden="false" customHeight="false" outlineLevel="0" collapsed="false">
      <c r="A210" s="1" t="str">
        <f aca="false">+A172</f>
        <v>AA and above</v>
      </c>
      <c r="B210" s="1" t="str">
        <f aca="false">IF(IFERROR(HLOOKUP(B$2,$M$2:$BL210,$J210,FALSE()),"")="","",IFERROR(HLOOKUP(B$2,$M$2:$BL210,$J210,FALSE()),""))</f>
        <v/>
      </c>
      <c r="C210" s="1" t="str">
        <f aca="false">IF(IFERROR(HLOOKUP(C$2,$M$2:$BL210,$J210,FALSE()),"")="","",IFERROR(HLOOKUP(C$2,$M$2:$BL210,$J210,FALSE()),""))</f>
        <v/>
      </c>
      <c r="D210" s="1" t="str">
        <f aca="false">IF(IFERROR(HLOOKUP(D$2,$M$2:$BL210,$J210,FALSE()),"")="","",IFERROR(HLOOKUP(D$2,$M$2:$BL210,$J210,FALSE()),""))</f>
        <v/>
      </c>
      <c r="E210" s="1" t="str">
        <f aca="false">IF(IFERROR(HLOOKUP(E$2,$M$2:$BL210,$J210,FALSE()),"")="","",IFERROR(HLOOKUP(E$2,$M$2:$BL210,$J210,FALSE()),""))</f>
        <v/>
      </c>
      <c r="F210" s="1" t="str">
        <f aca="false">IF(IFERROR(HLOOKUP(F$2,$M$2:$BL210,$J210,FALSE()),"")="","",IFERROR(HLOOKUP(F$2,$M$2:$BL210,$J210,FALSE()),""))</f>
        <v/>
      </c>
      <c r="G210" s="1" t="str">
        <f aca="false">IF(IFERROR(HLOOKUP(G$2,$M$2:$BL210,$J210,FALSE()),"")="","",IFERROR(HLOOKUP(G$2,$M$2:$BL210,$J210,FALSE()),""))</f>
        <v/>
      </c>
      <c r="J210" s="1" t="n">
        <f aca="false">+J209+1</f>
        <v>209</v>
      </c>
    </row>
    <row r="211" customFormat="false" ht="11.25" hidden="false" customHeight="false" outlineLevel="0" collapsed="false">
      <c r="A211" s="1" t="str">
        <f aca="false">+A173</f>
        <v>A</v>
      </c>
      <c r="B211" s="1" t="str">
        <f aca="false">IF(IFERROR(HLOOKUP(B$2,$M$2:$BL211,$J211,FALSE()),"")="","",IFERROR(HLOOKUP(B$2,$M$2:$BL211,$J211,FALSE()),""))</f>
        <v/>
      </c>
      <c r="C211" s="1" t="str">
        <f aca="false">IF(IFERROR(HLOOKUP(C$2,$M$2:$BL211,$J211,FALSE()),"")="","",IFERROR(HLOOKUP(C$2,$M$2:$BL211,$J211,FALSE()),""))</f>
        <v/>
      </c>
      <c r="D211" s="1" t="str">
        <f aca="false">IF(IFERROR(HLOOKUP(D$2,$M$2:$BL211,$J211,FALSE()),"")="","",IFERROR(HLOOKUP(D$2,$M$2:$BL211,$J211,FALSE()),""))</f>
        <v/>
      </c>
      <c r="E211" s="1" t="str">
        <f aca="false">IF(IFERROR(HLOOKUP(E$2,$M$2:$BL211,$J211,FALSE()),"")="","",IFERROR(HLOOKUP(E$2,$M$2:$BL211,$J211,FALSE()),""))</f>
        <v/>
      </c>
      <c r="F211" s="1" t="str">
        <f aca="false">IF(IFERROR(HLOOKUP(F$2,$M$2:$BL211,$J211,FALSE()),"")="","",IFERROR(HLOOKUP(F$2,$M$2:$BL211,$J211,FALSE()),""))</f>
        <v/>
      </c>
      <c r="G211" s="1" t="str">
        <f aca="false">IF(IFERROR(HLOOKUP(G$2,$M$2:$BL211,$J211,FALSE()),"")="","",IFERROR(HLOOKUP(G$2,$M$2:$BL211,$J211,FALSE()),""))</f>
        <v/>
      </c>
      <c r="J211" s="1" t="n">
        <f aca="false">+J210+1</f>
        <v>210</v>
      </c>
    </row>
    <row r="212" customFormat="false" ht="11.25" hidden="false" customHeight="false" outlineLevel="0" collapsed="false">
      <c r="A212" s="1" t="str">
        <f aca="false">+A174</f>
        <v>BBB</v>
      </c>
      <c r="B212" s="1" t="str">
        <f aca="false">IF(IFERROR(HLOOKUP(B$2,$M$2:$BL212,$J212,FALSE()),"")="","",IFERROR(HLOOKUP(B$2,$M$2:$BL212,$J212,FALSE()),""))</f>
        <v/>
      </c>
      <c r="C212" s="1" t="str">
        <f aca="false">IF(IFERROR(HLOOKUP(C$2,$M$2:$BL212,$J212,FALSE()),"")="","",IFERROR(HLOOKUP(C$2,$M$2:$BL212,$J212,FALSE()),""))</f>
        <v/>
      </c>
      <c r="D212" s="1" t="str">
        <f aca="false">IF(IFERROR(HLOOKUP(D$2,$M$2:$BL212,$J212,FALSE()),"")="","",IFERROR(HLOOKUP(D$2,$M$2:$BL212,$J212,FALSE()),""))</f>
        <v/>
      </c>
      <c r="E212" s="1" t="str">
        <f aca="false">IF(IFERROR(HLOOKUP(E$2,$M$2:$BL212,$J212,FALSE()),"")="","",IFERROR(HLOOKUP(E$2,$M$2:$BL212,$J212,FALSE()),""))</f>
        <v/>
      </c>
      <c r="F212" s="1" t="str">
        <f aca="false">IF(IFERROR(HLOOKUP(F$2,$M$2:$BL212,$J212,FALSE()),"")="","",IFERROR(HLOOKUP(F$2,$M$2:$BL212,$J212,FALSE()),""))</f>
        <v/>
      </c>
      <c r="G212" s="1" t="str">
        <f aca="false">IF(IFERROR(HLOOKUP(G$2,$M$2:$BL212,$J212,FALSE()),"")="","",IFERROR(HLOOKUP(G$2,$M$2:$BL212,$J212,FALSE()),""))</f>
        <v/>
      </c>
      <c r="J212" s="1" t="n">
        <f aca="false">+J211+1</f>
        <v>211</v>
      </c>
    </row>
    <row r="213" customFormat="false" ht="11.25" hidden="false" customHeight="false" outlineLevel="0" collapsed="false">
      <c r="A213" s="1" t="str">
        <f aca="false">+A175</f>
        <v>BB</v>
      </c>
      <c r="B213" s="1" t="str">
        <f aca="false">IF(IFERROR(HLOOKUP(B$2,$M$2:$BL213,$J213,FALSE()),"")="","",IFERROR(HLOOKUP(B$2,$M$2:$BL213,$J213,FALSE()),""))</f>
        <v/>
      </c>
      <c r="C213" s="1" t="str">
        <f aca="false">IF(IFERROR(HLOOKUP(C$2,$M$2:$BL213,$J213,FALSE()),"")="","",IFERROR(HLOOKUP(C$2,$M$2:$BL213,$J213,FALSE()),""))</f>
        <v/>
      </c>
      <c r="D213" s="1" t="str">
        <f aca="false">IF(IFERROR(HLOOKUP(D$2,$M$2:$BL213,$J213,FALSE()),"")="","",IFERROR(HLOOKUP(D$2,$M$2:$BL213,$J213,FALSE()),""))</f>
        <v/>
      </c>
      <c r="E213" s="1" t="str">
        <f aca="false">IF(IFERROR(HLOOKUP(E$2,$M$2:$BL213,$J213,FALSE()),"")="","",IFERROR(HLOOKUP(E$2,$M$2:$BL213,$J213,FALSE()),""))</f>
        <v/>
      </c>
      <c r="F213" s="1" t="str">
        <f aca="false">IF(IFERROR(HLOOKUP(F$2,$M$2:$BL213,$J213,FALSE()),"")="","",IFERROR(HLOOKUP(F$2,$M$2:$BL213,$J213,FALSE()),""))</f>
        <v/>
      </c>
      <c r="G213" s="1" t="str">
        <f aca="false">IF(IFERROR(HLOOKUP(G$2,$M$2:$BL213,$J213,FALSE()),"")="","",IFERROR(HLOOKUP(G$2,$M$2:$BL213,$J213,FALSE()),""))</f>
        <v/>
      </c>
      <c r="J213" s="1" t="n">
        <f aca="false">+J212+1</f>
        <v>212</v>
      </c>
    </row>
    <row r="214" customFormat="false" ht="11.25" hidden="false" customHeight="false" outlineLevel="0" collapsed="false">
      <c r="A214" s="1" t="str">
        <f aca="false">+A176</f>
        <v>B</v>
      </c>
      <c r="B214" s="1" t="str">
        <f aca="false">IF(IFERROR(HLOOKUP(B$2,$M$2:$BL214,$J214,FALSE()),"")="","",IFERROR(HLOOKUP(B$2,$M$2:$BL214,$J214,FALSE()),""))</f>
        <v/>
      </c>
      <c r="C214" s="1" t="str">
        <f aca="false">IF(IFERROR(HLOOKUP(C$2,$M$2:$BL214,$J214,FALSE()),"")="","",IFERROR(HLOOKUP(C$2,$M$2:$BL214,$J214,FALSE()),""))</f>
        <v/>
      </c>
      <c r="D214" s="1" t="str">
        <f aca="false">IF(IFERROR(HLOOKUP(D$2,$M$2:$BL214,$J214,FALSE()),"")="","",IFERROR(HLOOKUP(D$2,$M$2:$BL214,$J214,FALSE()),""))</f>
        <v/>
      </c>
      <c r="E214" s="1" t="str">
        <f aca="false">IF(IFERROR(HLOOKUP(E$2,$M$2:$BL214,$J214,FALSE()),"")="","",IFERROR(HLOOKUP(E$2,$M$2:$BL214,$J214,FALSE()),""))</f>
        <v/>
      </c>
      <c r="F214" s="1" t="str">
        <f aca="false">IF(IFERROR(HLOOKUP(F$2,$M$2:$BL214,$J214,FALSE()),"")="","",IFERROR(HLOOKUP(F$2,$M$2:$BL214,$J214,FALSE()),""))</f>
        <v/>
      </c>
      <c r="G214" s="1" t="str">
        <f aca="false">IF(IFERROR(HLOOKUP(G$2,$M$2:$BL214,$J214,FALSE()),"")="","",IFERROR(HLOOKUP(G$2,$M$2:$BL214,$J214,FALSE()),""))</f>
        <v/>
      </c>
      <c r="J214" s="1" t="n">
        <f aca="false">+J213+1</f>
        <v>213</v>
      </c>
    </row>
    <row r="215" customFormat="false" ht="11.25" hidden="false" customHeight="false" outlineLevel="0" collapsed="false">
      <c r="A215" s="1" t="str">
        <f aca="false">+A177</f>
        <v>CCC and below</v>
      </c>
      <c r="B215" s="1" t="str">
        <f aca="false">IF(IFERROR(HLOOKUP(B$2,$M$2:$BL215,$J215,FALSE()),"")="","",IFERROR(HLOOKUP(B$2,$M$2:$BL215,$J215,FALSE()),""))</f>
        <v/>
      </c>
      <c r="C215" s="1" t="str">
        <f aca="false">IF(IFERROR(HLOOKUP(C$2,$M$2:$BL215,$J215,FALSE()),"")="","",IFERROR(HLOOKUP(C$2,$M$2:$BL215,$J215,FALSE()),""))</f>
        <v/>
      </c>
      <c r="D215" s="1" t="str">
        <f aca="false">IF(IFERROR(HLOOKUP(D$2,$M$2:$BL215,$J215,FALSE()),"")="","",IFERROR(HLOOKUP(D$2,$M$2:$BL215,$J215,FALSE()),""))</f>
        <v/>
      </c>
      <c r="E215" s="1" t="str">
        <f aca="false">IF(IFERROR(HLOOKUP(E$2,$M$2:$BL215,$J215,FALSE()),"")="","",IFERROR(HLOOKUP(E$2,$M$2:$BL215,$J215,FALSE()),""))</f>
        <v/>
      </c>
      <c r="F215" s="1" t="str">
        <f aca="false">IF(IFERROR(HLOOKUP(F$2,$M$2:$BL215,$J215,FALSE()),"")="","",IFERROR(HLOOKUP(F$2,$M$2:$BL215,$J215,FALSE()),""))</f>
        <v/>
      </c>
      <c r="G215" s="1" t="str">
        <f aca="false">IF(IFERROR(HLOOKUP(G$2,$M$2:$BL215,$J215,FALSE()),"")="","",IFERROR(HLOOKUP(G$2,$M$2:$BL215,$J215,FALSE()),""))</f>
        <v/>
      </c>
      <c r="J215" s="1" t="n">
        <f aca="false">+J214+1</f>
        <v>214</v>
      </c>
    </row>
    <row r="218" customFormat="false" ht="11.25" hidden="false" customHeight="false" outlineLevel="0" collapsed="false">
      <c r="A218" s="3" t="s">
        <v>880</v>
      </c>
      <c r="U218" s="6" t="s">
        <v>881</v>
      </c>
    </row>
    <row r="219" s="14" customFormat="true" ht="11.25" hidden="false" customHeight="false" outlineLevel="0" collapsed="false">
      <c r="A219" s="13" t="str">
        <f aca="false">+A181</f>
        <v>Factor 1</v>
      </c>
      <c r="B219" s="14" t="str">
        <f aca="false">IF(IFERROR(HLOOKUP(B$2,$M$2:$BL219,$J219,FALSE()),"")="","",IFERROR(HLOOKUP(B$2,$M$2:$BL219,$J219,FALSE()),""))</f>
        <v/>
      </c>
      <c r="C219" s="14" t="str">
        <f aca="false">IF(IFERROR(HLOOKUP(C$2,$M$2:$BL219,$J219,FALSE()),"")="","",IFERROR(HLOOKUP(C$2,$M$2:$BL219,$J219,FALSE()),""))</f>
        <v/>
      </c>
      <c r="D219" s="14" t="str">
        <f aca="false">IF(IFERROR(HLOOKUP(D$2,$M$2:$BL219,$J219,FALSE()),"")="","",IFERROR(HLOOKUP(D$2,$M$2:$BL219,$J219,FALSE()),""))</f>
        <v/>
      </c>
      <c r="E219" s="14" t="str">
        <f aca="false">IF(IFERROR(HLOOKUP(E$2,$M$2:$BL219,$J219,FALSE()),"")="","",IFERROR(HLOOKUP(E$2,$M$2:$BL219,$J219,FALSE()),""))</f>
        <v/>
      </c>
      <c r="F219" s="14" t="str">
        <f aca="false">IF(IFERROR(HLOOKUP(F$2,$M$2:$BL219,$J219,FALSE()),"")="","",IFERROR(HLOOKUP(F$2,$M$2:$BL219,$J219,FALSE()),""))</f>
        <v/>
      </c>
      <c r="G219" s="14" t="str">
        <f aca="false">IF(IFERROR(HLOOKUP(G$2,$M$2:$BL219,$J219,FALSE()),"")="","",IFERROR(HLOOKUP(G$2,$M$2:$BL219,$J219,FALSE()),""))</f>
        <v/>
      </c>
      <c r="U219" s="14" t="s">
        <v>882</v>
      </c>
    </row>
    <row r="220" customFormat="false" ht="11.25" hidden="false" customHeight="false" outlineLevel="0" collapsed="false">
      <c r="A220" s="1" t="str">
        <f aca="false">+A182</f>
        <v>AA and above</v>
      </c>
      <c r="B220" s="1" t="str">
        <f aca="false">IF(IFERROR(HLOOKUP(B$2,$M$2:$BL220,$J220,FALSE()),"")="","",IFERROR(HLOOKUP(B$2,$M$2:$BL220,$J220,FALSE()),""))</f>
        <v/>
      </c>
      <c r="C220" s="1" t="str">
        <f aca="false">IF(IFERROR(HLOOKUP(C$2,$M$2:$BL220,$J220,FALSE()),"")="","",IFERROR(HLOOKUP(C$2,$M$2:$BL220,$J220,FALSE()),""))</f>
        <v/>
      </c>
      <c r="D220" s="1" t="str">
        <f aca="false">IF(IFERROR(HLOOKUP(D$2,$M$2:$BL220,$J220,FALSE()),"")="","",IFERROR(HLOOKUP(D$2,$M$2:$BL220,$J220,FALSE()),""))</f>
        <v/>
      </c>
      <c r="E220" s="1" t="str">
        <f aca="false">IF(IFERROR(HLOOKUP(E$2,$M$2:$BL220,$J220,FALSE()),"")="","",IFERROR(HLOOKUP(E$2,$M$2:$BL220,$J220,FALSE()),""))</f>
        <v/>
      </c>
      <c r="F220" s="1" t="str">
        <f aca="false">IF(IFERROR(HLOOKUP(F$2,$M$2:$BL220,$J220,FALSE()),"")="","",IFERROR(HLOOKUP(F$2,$M$2:$BL220,$J220,FALSE()),""))</f>
        <v/>
      </c>
      <c r="G220" s="1" t="str">
        <f aca="false">IF(IFERROR(HLOOKUP(G$2,$M$2:$BL220,$J220,FALSE()),"")="","",IFERROR(HLOOKUP(G$2,$M$2:$BL220,$J220,FALSE()),""))</f>
        <v/>
      </c>
      <c r="U220" s="1" t="s">
        <v>791</v>
      </c>
    </row>
    <row r="221" customFormat="false" ht="11.25" hidden="false" customHeight="false" outlineLevel="0" collapsed="false">
      <c r="A221" s="1" t="str">
        <f aca="false">+A183</f>
        <v>A</v>
      </c>
      <c r="B221" s="1" t="str">
        <f aca="false">IF(IFERROR(HLOOKUP(B$2,$M$2:$BL221,$J221,FALSE()),"")="","",IFERROR(HLOOKUP(B$2,$M$2:$BL221,$J221,FALSE()),""))</f>
        <v/>
      </c>
      <c r="C221" s="1" t="str">
        <f aca="false">IF(IFERROR(HLOOKUP(C$2,$M$2:$BL221,$J221,FALSE()),"")="","",IFERROR(HLOOKUP(C$2,$M$2:$BL221,$J221,FALSE()),""))</f>
        <v/>
      </c>
      <c r="D221" s="1" t="str">
        <f aca="false">IF(IFERROR(HLOOKUP(D$2,$M$2:$BL221,$J221,FALSE()),"")="","",IFERROR(HLOOKUP(D$2,$M$2:$BL221,$J221,FALSE()),""))</f>
        <v/>
      </c>
      <c r="E221" s="1" t="str">
        <f aca="false">IF(IFERROR(HLOOKUP(E$2,$M$2:$BL221,$J221,FALSE()),"")="","",IFERROR(HLOOKUP(E$2,$M$2:$BL221,$J221,FALSE()),""))</f>
        <v/>
      </c>
      <c r="F221" s="1" t="str">
        <f aca="false">IF(IFERROR(HLOOKUP(F$2,$M$2:$BL221,$J221,FALSE()),"")="","",IFERROR(HLOOKUP(F$2,$M$2:$BL221,$J221,FALSE()),""))</f>
        <v/>
      </c>
      <c r="G221" s="1" t="str">
        <f aca="false">IF(IFERROR(HLOOKUP(G$2,$M$2:$BL221,$J221,FALSE()),"")="","",IFERROR(HLOOKUP(G$2,$M$2:$BL221,$J221,FALSE()),""))</f>
        <v/>
      </c>
      <c r="U221" s="1" t="s">
        <v>853</v>
      </c>
    </row>
    <row r="222" customFormat="false" ht="11.25" hidden="false" customHeight="false" outlineLevel="0" collapsed="false">
      <c r="A222" s="1" t="str">
        <f aca="false">+A184</f>
        <v>BBB</v>
      </c>
      <c r="B222" s="1" t="str">
        <f aca="false">IF(IFERROR(HLOOKUP(B$2,$M$2:$BL222,$J222,FALSE()),"")="","",IFERROR(HLOOKUP(B$2,$M$2:$BL222,$J222,FALSE()),""))</f>
        <v/>
      </c>
      <c r="C222" s="1" t="str">
        <f aca="false">IF(IFERROR(HLOOKUP(C$2,$M$2:$BL222,$J222,FALSE()),"")="","",IFERROR(HLOOKUP(C$2,$M$2:$BL222,$J222,FALSE()),""))</f>
        <v/>
      </c>
      <c r="D222" s="1" t="str">
        <f aca="false">IF(IFERROR(HLOOKUP(D$2,$M$2:$BL222,$J222,FALSE()),"")="","",IFERROR(HLOOKUP(D$2,$M$2:$BL222,$J222,FALSE()),""))</f>
        <v/>
      </c>
      <c r="E222" s="1" t="str">
        <f aca="false">IF(IFERROR(HLOOKUP(E$2,$M$2:$BL222,$J222,FALSE()),"")="","",IFERROR(HLOOKUP(E$2,$M$2:$BL222,$J222,FALSE()),""))</f>
        <v/>
      </c>
      <c r="F222" s="1" t="str">
        <f aca="false">IF(IFERROR(HLOOKUP(F$2,$M$2:$BL222,$J222,FALSE()),"")="","",IFERROR(HLOOKUP(F$2,$M$2:$BL222,$J222,FALSE()),""))</f>
        <v/>
      </c>
      <c r="G222" s="1" t="str">
        <f aca="false">IF(IFERROR(HLOOKUP(G$2,$M$2:$BL222,$J222,FALSE()),"")="","",IFERROR(HLOOKUP(G$2,$M$2:$BL222,$J222,FALSE()),""))</f>
        <v/>
      </c>
      <c r="U222" s="1" t="s">
        <v>849</v>
      </c>
    </row>
    <row r="223" customFormat="false" ht="11.25" hidden="false" customHeight="false" outlineLevel="0" collapsed="false">
      <c r="A223" s="1" t="str">
        <f aca="false">+A185</f>
        <v>BB</v>
      </c>
      <c r="B223" s="1" t="str">
        <f aca="false">IF(IFERROR(HLOOKUP(B$2,$M$2:$BL223,$J223,FALSE()),"")="","",IFERROR(HLOOKUP(B$2,$M$2:$BL223,$J223,FALSE()),""))</f>
        <v/>
      </c>
      <c r="C223" s="1" t="str">
        <f aca="false">IF(IFERROR(HLOOKUP(C$2,$M$2:$BL223,$J223,FALSE()),"")="","",IFERROR(HLOOKUP(C$2,$M$2:$BL223,$J223,FALSE()),""))</f>
        <v/>
      </c>
      <c r="D223" s="1" t="str">
        <f aca="false">IF(IFERROR(HLOOKUP(D$2,$M$2:$BL223,$J223,FALSE()),"")="","",IFERROR(HLOOKUP(D$2,$M$2:$BL223,$J223,FALSE()),""))</f>
        <v/>
      </c>
      <c r="E223" s="1" t="str">
        <f aca="false">IF(IFERROR(HLOOKUP(E$2,$M$2:$BL223,$J223,FALSE()),"")="","",IFERROR(HLOOKUP(E$2,$M$2:$BL223,$J223,FALSE()),""))</f>
        <v/>
      </c>
      <c r="F223" s="1" t="str">
        <f aca="false">IF(IFERROR(HLOOKUP(F$2,$M$2:$BL223,$J223,FALSE()),"")="","",IFERROR(HLOOKUP(F$2,$M$2:$BL223,$J223,FALSE()),""))</f>
        <v/>
      </c>
      <c r="G223" s="1" t="str">
        <f aca="false">IF(IFERROR(HLOOKUP(G$2,$M$2:$BL223,$J223,FALSE()),"")="","",IFERROR(HLOOKUP(G$2,$M$2:$BL223,$J223,FALSE()),""))</f>
        <v/>
      </c>
      <c r="U223" s="1" t="s">
        <v>429</v>
      </c>
    </row>
    <row r="224" customFormat="false" ht="11.25" hidden="false" customHeight="false" outlineLevel="0" collapsed="false">
      <c r="A224" s="1" t="str">
        <f aca="false">+A186</f>
        <v>B</v>
      </c>
      <c r="B224" s="1" t="str">
        <f aca="false">IF(IFERROR(HLOOKUP(B$2,$M$2:$BL224,$J224,FALSE()),"")="","",IFERROR(HLOOKUP(B$2,$M$2:$BL224,$J224,FALSE()),""))</f>
        <v/>
      </c>
      <c r="C224" s="1" t="str">
        <f aca="false">IF(IFERROR(HLOOKUP(C$2,$M$2:$BL224,$J224,FALSE()),"")="","",IFERROR(HLOOKUP(C$2,$M$2:$BL224,$J224,FALSE()),""))</f>
        <v/>
      </c>
      <c r="D224" s="1" t="str">
        <f aca="false">IF(IFERROR(HLOOKUP(D$2,$M$2:$BL224,$J224,FALSE()),"")="","",IFERROR(HLOOKUP(D$2,$M$2:$BL224,$J224,FALSE()),""))</f>
        <v/>
      </c>
      <c r="E224" s="1" t="str">
        <f aca="false">IF(IFERROR(HLOOKUP(E$2,$M$2:$BL224,$J224,FALSE()),"")="","",IFERROR(HLOOKUP(E$2,$M$2:$BL224,$J224,FALSE()),""))</f>
        <v/>
      </c>
      <c r="F224" s="1" t="str">
        <f aca="false">IF(IFERROR(HLOOKUP(F$2,$M$2:$BL224,$J224,FALSE()),"")="","",IFERROR(HLOOKUP(F$2,$M$2:$BL224,$J224,FALSE()),""))</f>
        <v/>
      </c>
      <c r="G224" s="1" t="str">
        <f aca="false">IF(IFERROR(HLOOKUP(G$2,$M$2:$BL224,$J224,FALSE()),"")="","",IFERROR(HLOOKUP(G$2,$M$2:$BL224,$J224,FALSE()),""))</f>
        <v/>
      </c>
      <c r="U224" s="1" t="s">
        <v>810</v>
      </c>
    </row>
    <row r="225" customFormat="false" ht="11.25" hidden="false" customHeight="false" outlineLevel="0" collapsed="false">
      <c r="A225" s="1" t="str">
        <f aca="false">+A187</f>
        <v>CCC and below</v>
      </c>
      <c r="B225" s="1" t="str">
        <f aca="false">IF(IFERROR(HLOOKUP(B$2,$M$2:$BL225,$J225,FALSE()),"")="","",IFERROR(HLOOKUP(B$2,$M$2:$BL225,$J225,FALSE()),""))</f>
        <v/>
      </c>
      <c r="C225" s="1" t="str">
        <f aca="false">IF(IFERROR(HLOOKUP(C$2,$M$2:$BL225,$J225,FALSE()),"")="","",IFERROR(HLOOKUP(C$2,$M$2:$BL225,$J225,FALSE()),""))</f>
        <v/>
      </c>
      <c r="D225" s="1" t="str">
        <f aca="false">IF(IFERROR(HLOOKUP(D$2,$M$2:$BL225,$J225,FALSE()),"")="","",IFERROR(HLOOKUP(D$2,$M$2:$BL225,$J225,FALSE()),""))</f>
        <v/>
      </c>
      <c r="E225" s="1" t="str">
        <f aca="false">IF(IFERROR(HLOOKUP(E$2,$M$2:$BL225,$J225,FALSE()),"")="","",IFERROR(HLOOKUP(E$2,$M$2:$BL225,$J225,FALSE()),""))</f>
        <v/>
      </c>
      <c r="F225" s="1" t="str">
        <f aca="false">IF(IFERROR(HLOOKUP(F$2,$M$2:$BL225,$J225,FALSE()),"")="","",IFERROR(HLOOKUP(F$2,$M$2:$BL225,$J225,FALSE()),""))</f>
        <v/>
      </c>
      <c r="G225" s="1" t="str">
        <f aca="false">IF(IFERROR(HLOOKUP(G$2,$M$2:$BL225,$J225,FALSE()),"")="","",IFERROR(HLOOKUP(G$2,$M$2:$BL225,$J225,FALSE()),""))</f>
        <v/>
      </c>
      <c r="U225" s="1" t="s">
        <v>103</v>
      </c>
    </row>
    <row r="226" s="14" customFormat="true" ht="11.25" hidden="false" customHeight="false" outlineLevel="0" collapsed="false">
      <c r="A226" s="13" t="str">
        <f aca="false">+A188</f>
        <v>Factor 2</v>
      </c>
      <c r="B226" s="14" t="str">
        <f aca="false">IF(IFERROR(HLOOKUP(B$2,$M$2:$BL226,$J226,FALSE()),"")="","",IFERROR(HLOOKUP(B$2,$M$2:$BL226,$J226,FALSE()),""))</f>
        <v/>
      </c>
      <c r="C226" s="14" t="str">
        <f aca="false">IF(IFERROR(HLOOKUP(C$2,$M$2:$BL226,$J226,FALSE()),"")="","",IFERROR(HLOOKUP(C$2,$M$2:$BL226,$J226,FALSE()),""))</f>
        <v/>
      </c>
      <c r="D226" s="14" t="str">
        <f aca="false">IF(IFERROR(HLOOKUP(D$2,$M$2:$BL226,$J226,FALSE()),"")="","",IFERROR(HLOOKUP(D$2,$M$2:$BL226,$J226,FALSE()),""))</f>
        <v/>
      </c>
      <c r="E226" s="14" t="str">
        <f aca="false">IF(IFERROR(HLOOKUP(E$2,$M$2:$BL226,$J226,FALSE()),"")="","",IFERROR(HLOOKUP(E$2,$M$2:$BL226,$J226,FALSE()),""))</f>
        <v/>
      </c>
      <c r="F226" s="14" t="str">
        <f aca="false">IF(IFERROR(HLOOKUP(F$2,$M$2:$BL226,$J226,FALSE()),"")="","",IFERROR(HLOOKUP(F$2,$M$2:$BL226,$J226,FALSE()),""))</f>
        <v/>
      </c>
      <c r="G226" s="14" t="str">
        <f aca="false">IF(IFERROR(HLOOKUP(G$2,$M$2:$BL226,$J226,FALSE()),"")="","",IFERROR(HLOOKUP(G$2,$M$2:$BL226,$J226,FALSE()),""))</f>
        <v/>
      </c>
      <c r="U226" s="14" t="s">
        <v>883</v>
      </c>
    </row>
    <row r="227" customFormat="false" ht="11.25" hidden="false" customHeight="false" outlineLevel="0" collapsed="false">
      <c r="A227" s="1" t="str">
        <f aca="false">+A189</f>
        <v>AA and above</v>
      </c>
      <c r="B227" s="1" t="str">
        <f aca="false">IF(IFERROR(HLOOKUP(B$2,$M$2:$BL227,$J227,FALSE()),"")="","",IFERROR(HLOOKUP(B$2,$M$2:$BL227,$J227,FALSE()),""))</f>
        <v/>
      </c>
      <c r="C227" s="1" t="str">
        <f aca="false">IF(IFERROR(HLOOKUP(C$2,$M$2:$BL227,$J227,FALSE()),"")="","",IFERROR(HLOOKUP(C$2,$M$2:$BL227,$J227,FALSE()),""))</f>
        <v/>
      </c>
      <c r="D227" s="1" t="str">
        <f aca="false">IF(IFERROR(HLOOKUP(D$2,$M$2:$BL227,$J227,FALSE()),"")="","",IFERROR(HLOOKUP(D$2,$M$2:$BL227,$J227,FALSE()),""))</f>
        <v/>
      </c>
      <c r="E227" s="1" t="str">
        <f aca="false">IF(IFERROR(HLOOKUP(E$2,$M$2:$BL227,$J227,FALSE()),"")="","",IFERROR(HLOOKUP(E$2,$M$2:$BL227,$J227,FALSE()),""))</f>
        <v/>
      </c>
      <c r="F227" s="1" t="str">
        <f aca="false">IF(IFERROR(HLOOKUP(F$2,$M$2:$BL227,$J227,FALSE()),"")="","",IFERROR(HLOOKUP(F$2,$M$2:$BL227,$J227,FALSE()),""))</f>
        <v/>
      </c>
      <c r="G227" s="1" t="str">
        <f aca="false">IF(IFERROR(HLOOKUP(G$2,$M$2:$BL227,$J227,FALSE()),"")="","",IFERROR(HLOOKUP(G$2,$M$2:$BL227,$J227,FALSE()),""))</f>
        <v/>
      </c>
      <c r="U227" s="1" t="s">
        <v>884</v>
      </c>
    </row>
    <row r="228" customFormat="false" ht="11.25" hidden="false" customHeight="false" outlineLevel="0" collapsed="false">
      <c r="A228" s="1" t="str">
        <f aca="false">+A190</f>
        <v>A</v>
      </c>
      <c r="B228" s="1" t="str">
        <f aca="false">IF(IFERROR(HLOOKUP(B$2,$M$2:$BL228,$J228,FALSE()),"")="","",IFERROR(HLOOKUP(B$2,$M$2:$BL228,$J228,FALSE()),""))</f>
        <v/>
      </c>
      <c r="C228" s="1" t="str">
        <f aca="false">IF(IFERROR(HLOOKUP(C$2,$M$2:$BL228,$J228,FALSE()),"")="","",IFERROR(HLOOKUP(C$2,$M$2:$BL228,$J228,FALSE()),""))</f>
        <v/>
      </c>
      <c r="D228" s="1" t="str">
        <f aca="false">IF(IFERROR(HLOOKUP(D$2,$M$2:$BL228,$J228,FALSE()),"")="","",IFERROR(HLOOKUP(D$2,$M$2:$BL228,$J228,FALSE()),""))</f>
        <v/>
      </c>
      <c r="E228" s="1" t="str">
        <f aca="false">IF(IFERROR(HLOOKUP(E$2,$M$2:$BL228,$J228,FALSE()),"")="","",IFERROR(HLOOKUP(E$2,$M$2:$BL228,$J228,FALSE()),""))</f>
        <v/>
      </c>
      <c r="F228" s="1" t="str">
        <f aca="false">IF(IFERROR(HLOOKUP(F$2,$M$2:$BL228,$J228,FALSE()),"")="","",IFERROR(HLOOKUP(F$2,$M$2:$BL228,$J228,FALSE()),""))</f>
        <v/>
      </c>
      <c r="G228" s="1" t="str">
        <f aca="false">IF(IFERROR(HLOOKUP(G$2,$M$2:$BL228,$J228,FALSE()),"")="","",IFERROR(HLOOKUP(G$2,$M$2:$BL228,$J228,FALSE()),""))</f>
        <v/>
      </c>
      <c r="U228" s="1" t="s">
        <v>884</v>
      </c>
    </row>
    <row r="229" customFormat="false" ht="11.25" hidden="false" customHeight="false" outlineLevel="0" collapsed="false">
      <c r="A229" s="1" t="str">
        <f aca="false">+A191</f>
        <v>BBB</v>
      </c>
      <c r="B229" s="1" t="str">
        <f aca="false">IF(IFERROR(HLOOKUP(B$2,$M$2:$BL229,$J229,FALSE()),"")="","",IFERROR(HLOOKUP(B$2,$M$2:$BL229,$J229,FALSE()),""))</f>
        <v/>
      </c>
      <c r="C229" s="1" t="str">
        <f aca="false">IF(IFERROR(HLOOKUP(C$2,$M$2:$BL229,$J229,FALSE()),"")="","",IFERROR(HLOOKUP(C$2,$M$2:$BL229,$J229,FALSE()),""))</f>
        <v/>
      </c>
      <c r="D229" s="1" t="str">
        <f aca="false">IF(IFERROR(HLOOKUP(D$2,$M$2:$BL229,$J229,FALSE()),"")="","",IFERROR(HLOOKUP(D$2,$M$2:$BL229,$J229,FALSE()),""))</f>
        <v/>
      </c>
      <c r="E229" s="1" t="str">
        <f aca="false">IF(IFERROR(HLOOKUP(E$2,$M$2:$BL229,$J229,FALSE()),"")="","",IFERROR(HLOOKUP(E$2,$M$2:$BL229,$J229,FALSE()),""))</f>
        <v/>
      </c>
      <c r="F229" s="1" t="str">
        <f aca="false">IF(IFERROR(HLOOKUP(F$2,$M$2:$BL229,$J229,FALSE()),"")="","",IFERROR(HLOOKUP(F$2,$M$2:$BL229,$J229,FALSE()),""))</f>
        <v/>
      </c>
      <c r="G229" s="1" t="str">
        <f aca="false">IF(IFERROR(HLOOKUP(G$2,$M$2:$BL229,$J229,FALSE()),"")="","",IFERROR(HLOOKUP(G$2,$M$2:$BL229,$J229,FALSE()),""))</f>
        <v/>
      </c>
      <c r="U229" s="1" t="s">
        <v>884</v>
      </c>
    </row>
    <row r="230" customFormat="false" ht="11.25" hidden="false" customHeight="false" outlineLevel="0" collapsed="false">
      <c r="A230" s="1" t="str">
        <f aca="false">+A192</f>
        <v>BB</v>
      </c>
      <c r="B230" s="1" t="str">
        <f aca="false">IF(IFERROR(HLOOKUP(B$2,$M$2:$BL230,$J230,FALSE()),"")="","",IFERROR(HLOOKUP(B$2,$M$2:$BL230,$J230,FALSE()),""))</f>
        <v/>
      </c>
      <c r="C230" s="1" t="str">
        <f aca="false">IF(IFERROR(HLOOKUP(C$2,$M$2:$BL230,$J230,FALSE()),"")="","",IFERROR(HLOOKUP(C$2,$M$2:$BL230,$J230,FALSE()),""))</f>
        <v/>
      </c>
      <c r="D230" s="1" t="str">
        <f aca="false">IF(IFERROR(HLOOKUP(D$2,$M$2:$BL230,$J230,FALSE()),"")="","",IFERROR(HLOOKUP(D$2,$M$2:$BL230,$J230,FALSE()),""))</f>
        <v/>
      </c>
      <c r="E230" s="1" t="str">
        <f aca="false">IF(IFERROR(HLOOKUP(E$2,$M$2:$BL230,$J230,FALSE()),"")="","",IFERROR(HLOOKUP(E$2,$M$2:$BL230,$J230,FALSE()),""))</f>
        <v/>
      </c>
      <c r="F230" s="1" t="str">
        <f aca="false">IF(IFERROR(HLOOKUP(F$2,$M$2:$BL230,$J230,FALSE()),"")="","",IFERROR(HLOOKUP(F$2,$M$2:$BL230,$J230,FALSE()),""))</f>
        <v/>
      </c>
      <c r="G230" s="1" t="str">
        <f aca="false">IF(IFERROR(HLOOKUP(G$2,$M$2:$BL230,$J230,FALSE()),"")="","",IFERROR(HLOOKUP(G$2,$M$2:$BL230,$J230,FALSE()),""))</f>
        <v/>
      </c>
      <c r="U230" s="1" t="s">
        <v>885</v>
      </c>
    </row>
    <row r="231" customFormat="false" ht="11.25" hidden="false" customHeight="false" outlineLevel="0" collapsed="false">
      <c r="A231" s="1" t="str">
        <f aca="false">+A193</f>
        <v>B</v>
      </c>
      <c r="B231" s="1" t="str">
        <f aca="false">IF(IFERROR(HLOOKUP(B$2,$M$2:$BL231,$J231,FALSE()),"")="","",IFERROR(HLOOKUP(B$2,$M$2:$BL231,$J231,FALSE()),""))</f>
        <v/>
      </c>
      <c r="C231" s="1" t="str">
        <f aca="false">IF(IFERROR(HLOOKUP(C$2,$M$2:$BL231,$J231,FALSE()),"")="","",IFERROR(HLOOKUP(C$2,$M$2:$BL231,$J231,FALSE()),""))</f>
        <v/>
      </c>
      <c r="D231" s="1" t="str">
        <f aca="false">IF(IFERROR(HLOOKUP(D$2,$M$2:$BL231,$J231,FALSE()),"")="","",IFERROR(HLOOKUP(D$2,$M$2:$BL231,$J231,FALSE()),""))</f>
        <v/>
      </c>
      <c r="E231" s="1" t="str">
        <f aca="false">IF(IFERROR(HLOOKUP(E$2,$M$2:$BL231,$J231,FALSE()),"")="","",IFERROR(HLOOKUP(E$2,$M$2:$BL231,$J231,FALSE()),""))</f>
        <v/>
      </c>
      <c r="F231" s="1" t="str">
        <f aca="false">IF(IFERROR(HLOOKUP(F$2,$M$2:$BL231,$J231,FALSE()),"")="","",IFERROR(HLOOKUP(F$2,$M$2:$BL231,$J231,FALSE()),""))</f>
        <v/>
      </c>
      <c r="G231" s="1" t="str">
        <f aca="false">IF(IFERROR(HLOOKUP(G$2,$M$2:$BL231,$J231,FALSE()),"")="","",IFERROR(HLOOKUP(G$2,$M$2:$BL231,$J231,FALSE()),""))</f>
        <v/>
      </c>
      <c r="U231" s="1" t="s">
        <v>885</v>
      </c>
    </row>
    <row r="232" customFormat="false" ht="11.25" hidden="false" customHeight="false" outlineLevel="0" collapsed="false">
      <c r="A232" s="1" t="str">
        <f aca="false">+A194</f>
        <v>CCC and below</v>
      </c>
      <c r="B232" s="1" t="str">
        <f aca="false">IF(IFERROR(HLOOKUP(B$2,$M$2:$BL232,$J232,FALSE()),"")="","",IFERROR(HLOOKUP(B$2,$M$2:$BL232,$J232,FALSE()),""))</f>
        <v/>
      </c>
      <c r="C232" s="1" t="str">
        <f aca="false">IF(IFERROR(HLOOKUP(C$2,$M$2:$BL232,$J232,FALSE()),"")="","",IFERROR(HLOOKUP(C$2,$M$2:$BL232,$J232,FALSE()),""))</f>
        <v/>
      </c>
      <c r="D232" s="1" t="str">
        <f aca="false">IF(IFERROR(HLOOKUP(D$2,$M$2:$BL232,$J232,FALSE()),"")="","",IFERROR(HLOOKUP(D$2,$M$2:$BL232,$J232,FALSE()),""))</f>
        <v/>
      </c>
      <c r="E232" s="1" t="str">
        <f aca="false">IF(IFERROR(HLOOKUP(E$2,$M$2:$BL232,$J232,FALSE()),"")="","",IFERROR(HLOOKUP(E$2,$M$2:$BL232,$J232,FALSE()),""))</f>
        <v/>
      </c>
      <c r="F232" s="1" t="str">
        <f aca="false">IF(IFERROR(HLOOKUP(F$2,$M$2:$BL232,$J232,FALSE()),"")="","",IFERROR(HLOOKUP(F$2,$M$2:$BL232,$J232,FALSE()),""))</f>
        <v/>
      </c>
      <c r="G232" s="1" t="str">
        <f aca="false">IF(IFERROR(HLOOKUP(G$2,$M$2:$BL232,$J232,FALSE()),"")="","",IFERROR(HLOOKUP(G$2,$M$2:$BL232,$J232,FALSE()),""))</f>
        <v/>
      </c>
      <c r="U232" s="1" t="s">
        <v>103</v>
      </c>
    </row>
    <row r="233" s="14" customFormat="true" ht="11.25" hidden="false" customHeight="false" outlineLevel="0" collapsed="false">
      <c r="A233" s="13" t="str">
        <f aca="false">+A195</f>
        <v>Factor 3</v>
      </c>
      <c r="B233" s="14" t="str">
        <f aca="false">IF(IFERROR(HLOOKUP(B$2,$M$2:$BL233,$J233,FALSE()),"")="","",IFERROR(HLOOKUP(B$2,$M$2:$BL233,$J233,FALSE()),""))</f>
        <v/>
      </c>
      <c r="C233" s="14" t="str">
        <f aca="false">IF(IFERROR(HLOOKUP(C$2,$M$2:$BL233,$J233,FALSE()),"")="","",IFERROR(HLOOKUP(C$2,$M$2:$BL233,$J233,FALSE()),""))</f>
        <v/>
      </c>
      <c r="D233" s="14" t="str">
        <f aca="false">IF(IFERROR(HLOOKUP(D$2,$M$2:$BL233,$J233,FALSE()),"")="","",IFERROR(HLOOKUP(D$2,$M$2:$BL233,$J233,FALSE()),""))</f>
        <v/>
      </c>
      <c r="E233" s="14" t="str">
        <f aca="false">IF(IFERROR(HLOOKUP(E$2,$M$2:$BL233,$J233,FALSE()),"")="","",IFERROR(HLOOKUP(E$2,$M$2:$BL233,$J233,FALSE()),""))</f>
        <v/>
      </c>
      <c r="F233" s="14" t="str">
        <f aca="false">IF(IFERROR(HLOOKUP(F$2,$M$2:$BL233,$J233,FALSE()),"")="","",IFERROR(HLOOKUP(F$2,$M$2:$BL233,$J233,FALSE()),""))</f>
        <v/>
      </c>
      <c r="G233" s="14" t="str">
        <f aca="false">IF(IFERROR(HLOOKUP(G$2,$M$2:$BL233,$J233,FALSE()),"")="","",IFERROR(HLOOKUP(G$2,$M$2:$BL233,$J233,FALSE()),""))</f>
        <v/>
      </c>
    </row>
    <row r="234" customFormat="false" ht="11.25" hidden="false" customHeight="false" outlineLevel="0" collapsed="false">
      <c r="A234" s="1" t="str">
        <f aca="false">+A196</f>
        <v>AA and above</v>
      </c>
      <c r="B234" s="1" t="str">
        <f aca="false">IF(IFERROR(HLOOKUP(B$2,$M$2:$BL234,$J234,FALSE()),"")="","",IFERROR(HLOOKUP(B$2,$M$2:$BL234,$J234,FALSE()),""))</f>
        <v/>
      </c>
      <c r="C234" s="1" t="str">
        <f aca="false">IF(IFERROR(HLOOKUP(C$2,$M$2:$BL234,$J234,FALSE()),"")="","",IFERROR(HLOOKUP(C$2,$M$2:$BL234,$J234,FALSE()),""))</f>
        <v/>
      </c>
      <c r="D234" s="1" t="str">
        <f aca="false">IF(IFERROR(HLOOKUP(D$2,$M$2:$BL234,$J234,FALSE()),"")="","",IFERROR(HLOOKUP(D$2,$M$2:$BL234,$J234,FALSE()),""))</f>
        <v/>
      </c>
      <c r="E234" s="1" t="str">
        <f aca="false">IF(IFERROR(HLOOKUP(E$2,$M$2:$BL234,$J234,FALSE()),"")="","",IFERROR(HLOOKUP(E$2,$M$2:$BL234,$J234,FALSE()),""))</f>
        <v/>
      </c>
      <c r="F234" s="1" t="str">
        <f aca="false">IF(IFERROR(HLOOKUP(F$2,$M$2:$BL234,$J234,FALSE()),"")="","",IFERROR(HLOOKUP(F$2,$M$2:$BL234,$J234,FALSE()),""))</f>
        <v/>
      </c>
      <c r="G234" s="1" t="str">
        <f aca="false">IF(IFERROR(HLOOKUP(G$2,$M$2:$BL234,$J234,FALSE()),"")="","",IFERROR(HLOOKUP(G$2,$M$2:$BL234,$J234,FALSE()),""))</f>
        <v/>
      </c>
    </row>
    <row r="235" customFormat="false" ht="11.25" hidden="false" customHeight="false" outlineLevel="0" collapsed="false">
      <c r="A235" s="1" t="str">
        <f aca="false">+A197</f>
        <v>A</v>
      </c>
      <c r="B235" s="1" t="str">
        <f aca="false">IF(IFERROR(HLOOKUP(B$2,$M$2:$BL235,$J235,FALSE()),"")="","",IFERROR(HLOOKUP(B$2,$M$2:$BL235,$J235,FALSE()),""))</f>
        <v/>
      </c>
      <c r="C235" s="1" t="str">
        <f aca="false">IF(IFERROR(HLOOKUP(C$2,$M$2:$BL235,$J235,FALSE()),"")="","",IFERROR(HLOOKUP(C$2,$M$2:$BL235,$J235,FALSE()),""))</f>
        <v/>
      </c>
      <c r="D235" s="1" t="str">
        <f aca="false">IF(IFERROR(HLOOKUP(D$2,$M$2:$BL235,$J235,FALSE()),"")="","",IFERROR(HLOOKUP(D$2,$M$2:$BL235,$J235,FALSE()),""))</f>
        <v/>
      </c>
      <c r="E235" s="1" t="str">
        <f aca="false">IF(IFERROR(HLOOKUP(E$2,$M$2:$BL235,$J235,FALSE()),"")="","",IFERROR(HLOOKUP(E$2,$M$2:$BL235,$J235,FALSE()),""))</f>
        <v/>
      </c>
      <c r="F235" s="1" t="str">
        <f aca="false">IF(IFERROR(HLOOKUP(F$2,$M$2:$BL235,$J235,FALSE()),"")="","",IFERROR(HLOOKUP(F$2,$M$2:$BL235,$J235,FALSE()),""))</f>
        <v/>
      </c>
      <c r="G235" s="1" t="str">
        <f aca="false">IF(IFERROR(HLOOKUP(G$2,$M$2:$BL235,$J235,FALSE()),"")="","",IFERROR(HLOOKUP(G$2,$M$2:$BL235,$J235,FALSE()),""))</f>
        <v/>
      </c>
    </row>
    <row r="236" customFormat="false" ht="11.25" hidden="false" customHeight="false" outlineLevel="0" collapsed="false">
      <c r="A236" s="1" t="str">
        <f aca="false">+A198</f>
        <v>BBB</v>
      </c>
      <c r="B236" s="1" t="str">
        <f aca="false">IF(IFERROR(HLOOKUP(B$2,$M$2:$BL236,$J236,FALSE()),"")="","",IFERROR(HLOOKUP(B$2,$M$2:$BL236,$J236,FALSE()),""))</f>
        <v/>
      </c>
      <c r="C236" s="1" t="str">
        <f aca="false">IF(IFERROR(HLOOKUP(C$2,$M$2:$BL236,$J236,FALSE()),"")="","",IFERROR(HLOOKUP(C$2,$M$2:$BL236,$J236,FALSE()),""))</f>
        <v/>
      </c>
      <c r="D236" s="1" t="str">
        <f aca="false">IF(IFERROR(HLOOKUP(D$2,$M$2:$BL236,$J236,FALSE()),"")="","",IFERROR(HLOOKUP(D$2,$M$2:$BL236,$J236,FALSE()),""))</f>
        <v/>
      </c>
      <c r="E236" s="1" t="str">
        <f aca="false">IF(IFERROR(HLOOKUP(E$2,$M$2:$BL236,$J236,FALSE()),"")="","",IFERROR(HLOOKUP(E$2,$M$2:$BL236,$J236,FALSE()),""))</f>
        <v/>
      </c>
      <c r="F236" s="1" t="str">
        <f aca="false">IF(IFERROR(HLOOKUP(F$2,$M$2:$BL236,$J236,FALSE()),"")="","",IFERROR(HLOOKUP(F$2,$M$2:$BL236,$J236,FALSE()),""))</f>
        <v/>
      </c>
      <c r="G236" s="1" t="str">
        <f aca="false">IF(IFERROR(HLOOKUP(G$2,$M$2:$BL236,$J236,FALSE()),"")="","",IFERROR(HLOOKUP(G$2,$M$2:$BL236,$J236,FALSE()),""))</f>
        <v/>
      </c>
    </row>
    <row r="237" customFormat="false" ht="11.25" hidden="false" customHeight="false" outlineLevel="0" collapsed="false">
      <c r="A237" s="1" t="str">
        <f aca="false">+A199</f>
        <v>BB</v>
      </c>
      <c r="B237" s="1" t="str">
        <f aca="false">IF(IFERROR(HLOOKUP(B$2,$M$2:$BL237,$J237,FALSE()),"")="","",IFERROR(HLOOKUP(B$2,$M$2:$BL237,$J237,FALSE()),""))</f>
        <v/>
      </c>
      <c r="C237" s="1" t="str">
        <f aca="false">IF(IFERROR(HLOOKUP(C$2,$M$2:$BL237,$J237,FALSE()),"")="","",IFERROR(HLOOKUP(C$2,$M$2:$BL237,$J237,FALSE()),""))</f>
        <v/>
      </c>
      <c r="D237" s="1" t="str">
        <f aca="false">IF(IFERROR(HLOOKUP(D$2,$M$2:$BL237,$J237,FALSE()),"")="","",IFERROR(HLOOKUP(D$2,$M$2:$BL237,$J237,FALSE()),""))</f>
        <v/>
      </c>
      <c r="E237" s="1" t="str">
        <f aca="false">IF(IFERROR(HLOOKUP(E$2,$M$2:$BL237,$J237,FALSE()),"")="","",IFERROR(HLOOKUP(E$2,$M$2:$BL237,$J237,FALSE()),""))</f>
        <v/>
      </c>
      <c r="F237" s="1" t="str">
        <f aca="false">IF(IFERROR(HLOOKUP(F$2,$M$2:$BL237,$J237,FALSE()),"")="","",IFERROR(HLOOKUP(F$2,$M$2:$BL237,$J237,FALSE()),""))</f>
        <v/>
      </c>
      <c r="G237" s="1" t="str">
        <f aca="false">IF(IFERROR(HLOOKUP(G$2,$M$2:$BL237,$J237,FALSE()),"")="","",IFERROR(HLOOKUP(G$2,$M$2:$BL237,$J237,FALSE()),""))</f>
        <v/>
      </c>
    </row>
    <row r="238" customFormat="false" ht="11.25" hidden="false" customHeight="false" outlineLevel="0" collapsed="false">
      <c r="A238" s="1" t="str">
        <f aca="false">+A200</f>
        <v>B</v>
      </c>
      <c r="B238" s="1" t="str">
        <f aca="false">IF(IFERROR(HLOOKUP(B$2,$M$2:$BL238,$J238,FALSE()),"")="","",IFERROR(HLOOKUP(B$2,$M$2:$BL238,$J238,FALSE()),""))</f>
        <v/>
      </c>
      <c r="C238" s="1" t="str">
        <f aca="false">IF(IFERROR(HLOOKUP(C$2,$M$2:$BL238,$J238,FALSE()),"")="","",IFERROR(HLOOKUP(C$2,$M$2:$BL238,$J238,FALSE()),""))</f>
        <v/>
      </c>
      <c r="D238" s="1" t="str">
        <f aca="false">IF(IFERROR(HLOOKUP(D$2,$M$2:$BL238,$J238,FALSE()),"")="","",IFERROR(HLOOKUP(D$2,$M$2:$BL238,$J238,FALSE()),""))</f>
        <v/>
      </c>
      <c r="E238" s="1" t="str">
        <f aca="false">IF(IFERROR(HLOOKUP(E$2,$M$2:$BL238,$J238,FALSE()),"")="","",IFERROR(HLOOKUP(E$2,$M$2:$BL238,$J238,FALSE()),""))</f>
        <v/>
      </c>
      <c r="F238" s="1" t="str">
        <f aca="false">IF(IFERROR(HLOOKUP(F$2,$M$2:$BL238,$J238,FALSE()),"")="","",IFERROR(HLOOKUP(F$2,$M$2:$BL238,$J238,FALSE()),""))</f>
        <v/>
      </c>
      <c r="G238" s="1" t="str">
        <f aca="false">IF(IFERROR(HLOOKUP(G$2,$M$2:$BL238,$J238,FALSE()),"")="","",IFERROR(HLOOKUP(G$2,$M$2:$BL238,$J238,FALSE()),""))</f>
        <v/>
      </c>
    </row>
    <row r="239" customFormat="false" ht="11.25" hidden="false" customHeight="false" outlineLevel="0" collapsed="false">
      <c r="A239" s="1" t="str">
        <f aca="false">+A201</f>
        <v>CCC and below</v>
      </c>
      <c r="B239" s="1" t="str">
        <f aca="false">IF(IFERROR(HLOOKUP(B$2,$M$2:$BL239,$J239,FALSE()),"")="","",IFERROR(HLOOKUP(B$2,$M$2:$BL239,$J239,FALSE()),""))</f>
        <v/>
      </c>
      <c r="C239" s="1" t="str">
        <f aca="false">IF(IFERROR(HLOOKUP(C$2,$M$2:$BL239,$J239,FALSE()),"")="","",IFERROR(HLOOKUP(C$2,$M$2:$BL239,$J239,FALSE()),""))</f>
        <v/>
      </c>
      <c r="D239" s="1" t="str">
        <f aca="false">IF(IFERROR(HLOOKUP(D$2,$M$2:$BL239,$J239,FALSE()),"")="","",IFERROR(HLOOKUP(D$2,$M$2:$BL239,$J239,FALSE()),""))</f>
        <v/>
      </c>
      <c r="E239" s="1" t="str">
        <f aca="false">IF(IFERROR(HLOOKUP(E$2,$M$2:$BL239,$J239,FALSE()),"")="","",IFERROR(HLOOKUP(E$2,$M$2:$BL239,$J239,FALSE()),""))</f>
        <v/>
      </c>
      <c r="F239" s="1" t="str">
        <f aca="false">IF(IFERROR(HLOOKUP(F$2,$M$2:$BL239,$J239,FALSE()),"")="","",IFERROR(HLOOKUP(F$2,$M$2:$BL239,$J239,FALSE()),""))</f>
        <v/>
      </c>
      <c r="G239" s="1" t="str">
        <f aca="false">IF(IFERROR(HLOOKUP(G$2,$M$2:$BL239,$J239,FALSE()),"")="","",IFERROR(HLOOKUP(G$2,$M$2:$BL239,$J239,FALSE()),""))</f>
        <v/>
      </c>
    </row>
    <row r="240" s="14" customFormat="true" ht="11.25" hidden="false" customHeight="false" outlineLevel="0" collapsed="false">
      <c r="A240" s="13" t="str">
        <f aca="false">+A202</f>
        <v>Factor 4</v>
      </c>
      <c r="B240" s="14" t="str">
        <f aca="false">IF(IFERROR(HLOOKUP(B$2,$M$2:$BL240,$J240,FALSE()),"")="","",IFERROR(HLOOKUP(B$2,$M$2:$BL240,$J240,FALSE()),""))</f>
        <v/>
      </c>
      <c r="C240" s="14" t="str">
        <f aca="false">IF(IFERROR(HLOOKUP(C$2,$M$2:$BL240,$J240,FALSE()),"")="","",IFERROR(HLOOKUP(C$2,$M$2:$BL240,$J240,FALSE()),""))</f>
        <v/>
      </c>
      <c r="D240" s="14" t="str">
        <f aca="false">IF(IFERROR(HLOOKUP(D$2,$M$2:$BL240,$J240,FALSE()),"")="","",IFERROR(HLOOKUP(D$2,$M$2:$BL240,$J240,FALSE()),""))</f>
        <v/>
      </c>
      <c r="E240" s="14" t="str">
        <f aca="false">IF(IFERROR(HLOOKUP(E$2,$M$2:$BL240,$J240,FALSE()),"")="","",IFERROR(HLOOKUP(E$2,$M$2:$BL240,$J240,FALSE()),""))</f>
        <v/>
      </c>
      <c r="F240" s="14" t="str">
        <f aca="false">IF(IFERROR(HLOOKUP(F$2,$M$2:$BL240,$J240,FALSE()),"")="","",IFERROR(HLOOKUP(F$2,$M$2:$BL240,$J240,FALSE()),""))</f>
        <v/>
      </c>
      <c r="G240" s="14" t="str">
        <f aca="false">IF(IFERROR(HLOOKUP(G$2,$M$2:$BL240,$J240,FALSE()),"")="","",IFERROR(HLOOKUP(G$2,$M$2:$BL240,$J240,FALSE()),""))</f>
        <v/>
      </c>
    </row>
    <row r="241" customFormat="false" ht="11.25" hidden="false" customHeight="false" outlineLevel="0" collapsed="false">
      <c r="A241" s="1" t="str">
        <f aca="false">+A203</f>
        <v>AA and above</v>
      </c>
      <c r="B241" s="1" t="str">
        <f aca="false">IF(IFERROR(HLOOKUP(B$2,$M$2:$BL241,$J241,FALSE()),"")="","",IFERROR(HLOOKUP(B$2,$M$2:$BL241,$J241,FALSE()),""))</f>
        <v/>
      </c>
      <c r="C241" s="1" t="str">
        <f aca="false">IF(IFERROR(HLOOKUP(C$2,$M$2:$BL241,$J241,FALSE()),"")="","",IFERROR(HLOOKUP(C$2,$M$2:$BL241,$J241,FALSE()),""))</f>
        <v/>
      </c>
      <c r="D241" s="1" t="str">
        <f aca="false">IF(IFERROR(HLOOKUP(D$2,$M$2:$BL241,$J241,FALSE()),"")="","",IFERROR(HLOOKUP(D$2,$M$2:$BL241,$J241,FALSE()),""))</f>
        <v/>
      </c>
      <c r="E241" s="1" t="str">
        <f aca="false">IF(IFERROR(HLOOKUP(E$2,$M$2:$BL241,$J241,FALSE()),"")="","",IFERROR(HLOOKUP(E$2,$M$2:$BL241,$J241,FALSE()),""))</f>
        <v/>
      </c>
      <c r="F241" s="1" t="str">
        <f aca="false">IF(IFERROR(HLOOKUP(F$2,$M$2:$BL241,$J241,FALSE()),"")="","",IFERROR(HLOOKUP(F$2,$M$2:$BL241,$J241,FALSE()),""))</f>
        <v/>
      </c>
      <c r="G241" s="1" t="str">
        <f aca="false">IF(IFERROR(HLOOKUP(G$2,$M$2:$BL241,$J241,FALSE()),"")="","",IFERROR(HLOOKUP(G$2,$M$2:$BL241,$J241,FALSE()),""))</f>
        <v/>
      </c>
    </row>
    <row r="242" customFormat="false" ht="11.25" hidden="false" customHeight="false" outlineLevel="0" collapsed="false">
      <c r="A242" s="1" t="str">
        <f aca="false">+A204</f>
        <v>A</v>
      </c>
      <c r="B242" s="1" t="str">
        <f aca="false">IF(IFERROR(HLOOKUP(B$2,$M$2:$BL242,$J242,FALSE()),"")="","",IFERROR(HLOOKUP(B$2,$M$2:$BL242,$J242,FALSE()),""))</f>
        <v/>
      </c>
      <c r="C242" s="1" t="str">
        <f aca="false">IF(IFERROR(HLOOKUP(C$2,$M$2:$BL242,$J242,FALSE()),"")="","",IFERROR(HLOOKUP(C$2,$M$2:$BL242,$J242,FALSE()),""))</f>
        <v/>
      </c>
      <c r="D242" s="1" t="str">
        <f aca="false">IF(IFERROR(HLOOKUP(D$2,$M$2:$BL242,$J242,FALSE()),"")="","",IFERROR(HLOOKUP(D$2,$M$2:$BL242,$J242,FALSE()),""))</f>
        <v/>
      </c>
      <c r="E242" s="1" t="str">
        <f aca="false">IF(IFERROR(HLOOKUP(E$2,$M$2:$BL242,$J242,FALSE()),"")="","",IFERROR(HLOOKUP(E$2,$M$2:$BL242,$J242,FALSE()),""))</f>
        <v/>
      </c>
      <c r="F242" s="1" t="str">
        <f aca="false">IF(IFERROR(HLOOKUP(F$2,$M$2:$BL242,$J242,FALSE()),"")="","",IFERROR(HLOOKUP(F$2,$M$2:$BL242,$J242,FALSE()),""))</f>
        <v/>
      </c>
      <c r="G242" s="1" t="str">
        <f aca="false">IF(IFERROR(HLOOKUP(G$2,$M$2:$BL242,$J242,FALSE()),"")="","",IFERROR(HLOOKUP(G$2,$M$2:$BL242,$J242,FALSE()),""))</f>
        <v/>
      </c>
    </row>
    <row r="243" customFormat="false" ht="11.25" hidden="false" customHeight="false" outlineLevel="0" collapsed="false">
      <c r="A243" s="1" t="str">
        <f aca="false">+A205</f>
        <v>BBB</v>
      </c>
      <c r="B243" s="1" t="str">
        <f aca="false">IF(IFERROR(HLOOKUP(B$2,$M$2:$BL243,$J243,FALSE()),"")="","",IFERROR(HLOOKUP(B$2,$M$2:$BL243,$J243,FALSE()),""))</f>
        <v/>
      </c>
      <c r="C243" s="1" t="str">
        <f aca="false">IF(IFERROR(HLOOKUP(C$2,$M$2:$BL243,$J243,FALSE()),"")="","",IFERROR(HLOOKUP(C$2,$M$2:$BL243,$J243,FALSE()),""))</f>
        <v/>
      </c>
      <c r="D243" s="1" t="str">
        <f aca="false">IF(IFERROR(HLOOKUP(D$2,$M$2:$BL243,$J243,FALSE()),"")="","",IFERROR(HLOOKUP(D$2,$M$2:$BL243,$J243,FALSE()),""))</f>
        <v/>
      </c>
      <c r="E243" s="1" t="str">
        <f aca="false">IF(IFERROR(HLOOKUP(E$2,$M$2:$BL243,$J243,FALSE()),"")="","",IFERROR(HLOOKUP(E$2,$M$2:$BL243,$J243,FALSE()),""))</f>
        <v/>
      </c>
      <c r="F243" s="1" t="str">
        <f aca="false">IF(IFERROR(HLOOKUP(F$2,$M$2:$BL243,$J243,FALSE()),"")="","",IFERROR(HLOOKUP(F$2,$M$2:$BL243,$J243,FALSE()),""))</f>
        <v/>
      </c>
      <c r="G243" s="1" t="str">
        <f aca="false">IF(IFERROR(HLOOKUP(G$2,$M$2:$BL243,$J243,FALSE()),"")="","",IFERROR(HLOOKUP(G$2,$M$2:$BL243,$J243,FALSE()),""))</f>
        <v/>
      </c>
    </row>
    <row r="244" customFormat="false" ht="11.25" hidden="false" customHeight="false" outlineLevel="0" collapsed="false">
      <c r="A244" s="1" t="str">
        <f aca="false">+A206</f>
        <v>BB</v>
      </c>
      <c r="B244" s="1" t="str">
        <f aca="false">IF(IFERROR(HLOOKUP(B$2,$M$2:$BL244,$J244,FALSE()),"")="","",IFERROR(HLOOKUP(B$2,$M$2:$BL244,$J244,FALSE()),""))</f>
        <v/>
      </c>
      <c r="C244" s="1" t="str">
        <f aca="false">IF(IFERROR(HLOOKUP(C$2,$M$2:$BL244,$J244,FALSE()),"")="","",IFERROR(HLOOKUP(C$2,$M$2:$BL244,$J244,FALSE()),""))</f>
        <v/>
      </c>
      <c r="D244" s="1" t="str">
        <f aca="false">IF(IFERROR(HLOOKUP(D$2,$M$2:$BL244,$J244,FALSE()),"")="","",IFERROR(HLOOKUP(D$2,$M$2:$BL244,$J244,FALSE()),""))</f>
        <v/>
      </c>
      <c r="E244" s="1" t="str">
        <f aca="false">IF(IFERROR(HLOOKUP(E$2,$M$2:$BL244,$J244,FALSE()),"")="","",IFERROR(HLOOKUP(E$2,$M$2:$BL244,$J244,FALSE()),""))</f>
        <v/>
      </c>
      <c r="F244" s="1" t="str">
        <f aca="false">IF(IFERROR(HLOOKUP(F$2,$M$2:$BL244,$J244,FALSE()),"")="","",IFERROR(HLOOKUP(F$2,$M$2:$BL244,$J244,FALSE()),""))</f>
        <v/>
      </c>
      <c r="G244" s="1" t="str">
        <f aca="false">IF(IFERROR(HLOOKUP(G$2,$M$2:$BL244,$J244,FALSE()),"")="","",IFERROR(HLOOKUP(G$2,$M$2:$BL244,$J244,FALSE()),""))</f>
        <v/>
      </c>
    </row>
    <row r="245" customFormat="false" ht="11.25" hidden="false" customHeight="false" outlineLevel="0" collapsed="false">
      <c r="A245" s="1" t="str">
        <f aca="false">+A207</f>
        <v>B</v>
      </c>
      <c r="B245" s="1" t="str">
        <f aca="false">IF(IFERROR(HLOOKUP(B$2,$M$2:$BL245,$J245,FALSE()),"")="","",IFERROR(HLOOKUP(B$2,$M$2:$BL245,$J245,FALSE()),""))</f>
        <v/>
      </c>
      <c r="C245" s="1" t="str">
        <f aca="false">IF(IFERROR(HLOOKUP(C$2,$M$2:$BL245,$J245,FALSE()),"")="","",IFERROR(HLOOKUP(C$2,$M$2:$BL245,$J245,FALSE()),""))</f>
        <v/>
      </c>
      <c r="D245" s="1" t="str">
        <f aca="false">IF(IFERROR(HLOOKUP(D$2,$M$2:$BL245,$J245,FALSE()),"")="","",IFERROR(HLOOKUP(D$2,$M$2:$BL245,$J245,FALSE()),""))</f>
        <v/>
      </c>
      <c r="E245" s="1" t="str">
        <f aca="false">IF(IFERROR(HLOOKUP(E$2,$M$2:$BL245,$J245,FALSE()),"")="","",IFERROR(HLOOKUP(E$2,$M$2:$BL245,$J245,FALSE()),""))</f>
        <v/>
      </c>
      <c r="F245" s="1" t="str">
        <f aca="false">IF(IFERROR(HLOOKUP(F$2,$M$2:$BL245,$J245,FALSE()),"")="","",IFERROR(HLOOKUP(F$2,$M$2:$BL245,$J245,FALSE()),""))</f>
        <v/>
      </c>
      <c r="G245" s="1" t="str">
        <f aca="false">IF(IFERROR(HLOOKUP(G$2,$M$2:$BL245,$J245,FALSE()),"")="","",IFERROR(HLOOKUP(G$2,$M$2:$BL245,$J245,FALSE()),""))</f>
        <v/>
      </c>
    </row>
    <row r="246" customFormat="false" ht="11.25" hidden="false" customHeight="false" outlineLevel="0" collapsed="false">
      <c r="A246" s="1" t="str">
        <f aca="false">+A208</f>
        <v>CCC and below</v>
      </c>
      <c r="B246" s="1" t="str">
        <f aca="false">IF(IFERROR(HLOOKUP(B$2,$M$2:$BL246,$J246,FALSE()),"")="","",IFERROR(HLOOKUP(B$2,$M$2:$BL246,$J246,FALSE()),""))</f>
        <v/>
      </c>
      <c r="C246" s="1" t="str">
        <f aca="false">IF(IFERROR(HLOOKUP(C$2,$M$2:$BL246,$J246,FALSE()),"")="","",IFERROR(HLOOKUP(C$2,$M$2:$BL246,$J246,FALSE()),""))</f>
        <v/>
      </c>
      <c r="D246" s="1" t="str">
        <f aca="false">IF(IFERROR(HLOOKUP(D$2,$M$2:$BL246,$J246,FALSE()),"")="","",IFERROR(HLOOKUP(D$2,$M$2:$BL246,$J246,FALSE()),""))</f>
        <v/>
      </c>
      <c r="E246" s="1" t="str">
        <f aca="false">IF(IFERROR(HLOOKUP(E$2,$M$2:$BL246,$J246,FALSE()),"")="","",IFERROR(HLOOKUP(E$2,$M$2:$BL246,$J246,FALSE()),""))</f>
        <v/>
      </c>
      <c r="F246" s="1" t="str">
        <f aca="false">IF(IFERROR(HLOOKUP(F$2,$M$2:$BL246,$J246,FALSE()),"")="","",IFERROR(HLOOKUP(F$2,$M$2:$BL246,$J246,FALSE()),""))</f>
        <v/>
      </c>
      <c r="G246" s="1" t="str">
        <f aca="false">IF(IFERROR(HLOOKUP(G$2,$M$2:$BL246,$J246,FALSE()),"")="","",IFERROR(HLOOKUP(G$2,$M$2:$BL246,$J246,FALSE()),""))</f>
        <v/>
      </c>
    </row>
    <row r="247" s="14" customFormat="true" ht="11.25" hidden="false" customHeight="false" outlineLevel="0" collapsed="false">
      <c r="A247" s="13" t="str">
        <f aca="false">+A209</f>
        <v>Factor 5</v>
      </c>
      <c r="B247" s="14" t="str">
        <f aca="false">IF(IFERROR(HLOOKUP(B$2,$M$2:$BL247,$J247,FALSE()),"")="","",IFERROR(HLOOKUP(B$2,$M$2:$BL247,$J247,FALSE()),""))</f>
        <v/>
      </c>
      <c r="C247" s="14" t="str">
        <f aca="false">IF(IFERROR(HLOOKUP(C$2,$M$2:$BL247,$J247,FALSE()),"")="","",IFERROR(HLOOKUP(C$2,$M$2:$BL247,$J247,FALSE()),""))</f>
        <v/>
      </c>
      <c r="D247" s="14" t="str">
        <f aca="false">IF(IFERROR(HLOOKUP(D$2,$M$2:$BL247,$J247,FALSE()),"")="","",IFERROR(HLOOKUP(D$2,$M$2:$BL247,$J247,FALSE()),""))</f>
        <v/>
      </c>
      <c r="E247" s="14" t="str">
        <f aca="false">IF(IFERROR(HLOOKUP(E$2,$M$2:$BL247,$J247,FALSE()),"")="","",IFERROR(HLOOKUP(E$2,$M$2:$BL247,$J247,FALSE()),""))</f>
        <v/>
      </c>
      <c r="F247" s="14" t="str">
        <f aca="false">IF(IFERROR(HLOOKUP(F$2,$M$2:$BL247,$J247,FALSE()),"")="","",IFERROR(HLOOKUP(F$2,$M$2:$BL247,$J247,FALSE()),""))</f>
        <v/>
      </c>
      <c r="G247" s="14" t="str">
        <f aca="false">IF(IFERROR(HLOOKUP(G$2,$M$2:$BL247,$J247,FALSE()),"")="","",IFERROR(HLOOKUP(G$2,$M$2:$BL247,$J247,FALSE()),""))</f>
        <v/>
      </c>
    </row>
    <row r="248" customFormat="false" ht="11.25" hidden="false" customHeight="false" outlineLevel="0" collapsed="false">
      <c r="A248" s="1" t="str">
        <f aca="false">+A210</f>
        <v>AA and above</v>
      </c>
      <c r="B248" s="1" t="str">
        <f aca="false">IF(IFERROR(HLOOKUP(B$2,$M$2:$BL248,$J248,FALSE()),"")="","",IFERROR(HLOOKUP(B$2,$M$2:$BL248,$J248,FALSE()),""))</f>
        <v/>
      </c>
      <c r="C248" s="1" t="str">
        <f aca="false">IF(IFERROR(HLOOKUP(C$2,$M$2:$BL248,$J248,FALSE()),"")="","",IFERROR(HLOOKUP(C$2,$M$2:$BL248,$J248,FALSE()),""))</f>
        <v/>
      </c>
      <c r="D248" s="1" t="str">
        <f aca="false">IF(IFERROR(HLOOKUP(D$2,$M$2:$BL248,$J248,FALSE()),"")="","",IFERROR(HLOOKUP(D$2,$M$2:$BL248,$J248,FALSE()),""))</f>
        <v/>
      </c>
      <c r="E248" s="1" t="str">
        <f aca="false">IF(IFERROR(HLOOKUP(E$2,$M$2:$BL248,$J248,FALSE()),"")="","",IFERROR(HLOOKUP(E$2,$M$2:$BL248,$J248,FALSE()),""))</f>
        <v/>
      </c>
      <c r="F248" s="1" t="str">
        <f aca="false">IF(IFERROR(HLOOKUP(F$2,$M$2:$BL248,$J248,FALSE()),"")="","",IFERROR(HLOOKUP(F$2,$M$2:$BL248,$J248,FALSE()),""))</f>
        <v/>
      </c>
      <c r="G248" s="1" t="str">
        <f aca="false">IF(IFERROR(HLOOKUP(G$2,$M$2:$BL248,$J248,FALSE()),"")="","",IFERROR(HLOOKUP(G$2,$M$2:$BL248,$J248,FALSE()),""))</f>
        <v/>
      </c>
    </row>
    <row r="249" customFormat="false" ht="11.25" hidden="false" customHeight="false" outlineLevel="0" collapsed="false">
      <c r="A249" s="1" t="str">
        <f aca="false">+A211</f>
        <v>A</v>
      </c>
      <c r="B249" s="1" t="str">
        <f aca="false">IF(IFERROR(HLOOKUP(B$2,$M$2:$BL249,$J249,FALSE()),"")="","",IFERROR(HLOOKUP(B$2,$M$2:$BL249,$J249,FALSE()),""))</f>
        <v/>
      </c>
      <c r="C249" s="1" t="str">
        <f aca="false">IF(IFERROR(HLOOKUP(C$2,$M$2:$BL249,$J249,FALSE()),"")="","",IFERROR(HLOOKUP(C$2,$M$2:$BL249,$J249,FALSE()),""))</f>
        <v/>
      </c>
      <c r="D249" s="1" t="str">
        <f aca="false">IF(IFERROR(HLOOKUP(D$2,$M$2:$BL249,$J249,FALSE()),"")="","",IFERROR(HLOOKUP(D$2,$M$2:$BL249,$J249,FALSE()),""))</f>
        <v/>
      </c>
      <c r="E249" s="1" t="str">
        <f aca="false">IF(IFERROR(HLOOKUP(E$2,$M$2:$BL249,$J249,FALSE()),"")="","",IFERROR(HLOOKUP(E$2,$M$2:$BL249,$J249,FALSE()),""))</f>
        <v/>
      </c>
      <c r="F249" s="1" t="str">
        <f aca="false">IF(IFERROR(HLOOKUP(F$2,$M$2:$BL249,$J249,FALSE()),"")="","",IFERROR(HLOOKUP(F$2,$M$2:$BL249,$J249,FALSE()),""))</f>
        <v/>
      </c>
      <c r="G249" s="1" t="str">
        <f aca="false">IF(IFERROR(HLOOKUP(G$2,$M$2:$BL249,$J249,FALSE()),"")="","",IFERROR(HLOOKUP(G$2,$M$2:$BL249,$J249,FALSE()),""))</f>
        <v/>
      </c>
    </row>
    <row r="250" customFormat="false" ht="11.25" hidden="false" customHeight="false" outlineLevel="0" collapsed="false">
      <c r="A250" s="1" t="str">
        <f aca="false">+A212</f>
        <v>BBB</v>
      </c>
      <c r="B250" s="1" t="str">
        <f aca="false">IF(IFERROR(HLOOKUP(B$2,$M$2:$BL250,$J250,FALSE()),"")="","",IFERROR(HLOOKUP(B$2,$M$2:$BL250,$J250,FALSE()),""))</f>
        <v/>
      </c>
      <c r="C250" s="1" t="str">
        <f aca="false">IF(IFERROR(HLOOKUP(C$2,$M$2:$BL250,$J250,FALSE()),"")="","",IFERROR(HLOOKUP(C$2,$M$2:$BL250,$J250,FALSE()),""))</f>
        <v/>
      </c>
      <c r="D250" s="1" t="str">
        <f aca="false">IF(IFERROR(HLOOKUP(D$2,$M$2:$BL250,$J250,FALSE()),"")="","",IFERROR(HLOOKUP(D$2,$M$2:$BL250,$J250,FALSE()),""))</f>
        <v/>
      </c>
      <c r="E250" s="1" t="str">
        <f aca="false">IF(IFERROR(HLOOKUP(E$2,$M$2:$BL250,$J250,FALSE()),"")="","",IFERROR(HLOOKUP(E$2,$M$2:$BL250,$J250,FALSE()),""))</f>
        <v/>
      </c>
      <c r="F250" s="1" t="str">
        <f aca="false">IF(IFERROR(HLOOKUP(F$2,$M$2:$BL250,$J250,FALSE()),"")="","",IFERROR(HLOOKUP(F$2,$M$2:$BL250,$J250,FALSE()),""))</f>
        <v/>
      </c>
      <c r="G250" s="1" t="str">
        <f aca="false">IF(IFERROR(HLOOKUP(G$2,$M$2:$BL250,$J250,FALSE()),"")="","",IFERROR(HLOOKUP(G$2,$M$2:$BL250,$J250,FALSE()),""))</f>
        <v/>
      </c>
    </row>
    <row r="251" customFormat="false" ht="11.25" hidden="false" customHeight="false" outlineLevel="0" collapsed="false">
      <c r="A251" s="1" t="str">
        <f aca="false">+A213</f>
        <v>BB</v>
      </c>
      <c r="B251" s="1" t="str">
        <f aca="false">IF(IFERROR(HLOOKUP(B$2,$M$2:$BL251,$J251,FALSE()),"")="","",IFERROR(HLOOKUP(B$2,$M$2:$BL251,$J251,FALSE()),""))</f>
        <v/>
      </c>
      <c r="C251" s="1" t="str">
        <f aca="false">IF(IFERROR(HLOOKUP(C$2,$M$2:$BL251,$J251,FALSE()),"")="","",IFERROR(HLOOKUP(C$2,$M$2:$BL251,$J251,FALSE()),""))</f>
        <v/>
      </c>
      <c r="D251" s="1" t="str">
        <f aca="false">IF(IFERROR(HLOOKUP(D$2,$M$2:$BL251,$J251,FALSE()),"")="","",IFERROR(HLOOKUP(D$2,$M$2:$BL251,$J251,FALSE()),""))</f>
        <v/>
      </c>
      <c r="E251" s="1" t="str">
        <f aca="false">IF(IFERROR(HLOOKUP(E$2,$M$2:$BL251,$J251,FALSE()),"")="","",IFERROR(HLOOKUP(E$2,$M$2:$BL251,$J251,FALSE()),""))</f>
        <v/>
      </c>
      <c r="F251" s="1" t="str">
        <f aca="false">IF(IFERROR(HLOOKUP(F$2,$M$2:$BL251,$J251,FALSE()),"")="","",IFERROR(HLOOKUP(F$2,$M$2:$BL251,$J251,FALSE()),""))</f>
        <v/>
      </c>
      <c r="G251" s="1" t="str">
        <f aca="false">IF(IFERROR(HLOOKUP(G$2,$M$2:$BL251,$J251,FALSE()),"")="","",IFERROR(HLOOKUP(G$2,$M$2:$BL251,$J251,FALSE()),""))</f>
        <v/>
      </c>
    </row>
    <row r="252" customFormat="false" ht="11.25" hidden="false" customHeight="false" outlineLevel="0" collapsed="false">
      <c r="A252" s="1" t="str">
        <f aca="false">+A214</f>
        <v>B</v>
      </c>
      <c r="B252" s="1" t="str">
        <f aca="false">IF(IFERROR(HLOOKUP(B$2,$M$2:$BL252,$J252,FALSE()),"")="","",IFERROR(HLOOKUP(B$2,$M$2:$BL252,$J252,FALSE()),""))</f>
        <v/>
      </c>
      <c r="C252" s="1" t="str">
        <f aca="false">IF(IFERROR(HLOOKUP(C$2,$M$2:$BL252,$J252,FALSE()),"")="","",IFERROR(HLOOKUP(C$2,$M$2:$BL252,$J252,FALSE()),""))</f>
        <v/>
      </c>
      <c r="D252" s="1" t="str">
        <f aca="false">IF(IFERROR(HLOOKUP(D$2,$M$2:$BL252,$J252,FALSE()),"")="","",IFERROR(HLOOKUP(D$2,$M$2:$BL252,$J252,FALSE()),""))</f>
        <v/>
      </c>
      <c r="E252" s="1" t="str">
        <f aca="false">IF(IFERROR(HLOOKUP(E$2,$M$2:$BL252,$J252,FALSE()),"")="","",IFERROR(HLOOKUP(E$2,$M$2:$BL252,$J252,FALSE()),""))</f>
        <v/>
      </c>
      <c r="F252" s="1" t="str">
        <f aca="false">IF(IFERROR(HLOOKUP(F$2,$M$2:$BL252,$J252,FALSE()),"")="","",IFERROR(HLOOKUP(F$2,$M$2:$BL252,$J252,FALSE()),""))</f>
        <v/>
      </c>
      <c r="G252" s="1" t="str">
        <f aca="false">IF(IFERROR(HLOOKUP(G$2,$M$2:$BL252,$J252,FALSE()),"")="","",IFERROR(HLOOKUP(G$2,$M$2:$BL252,$J252,FALSE()),""))</f>
        <v/>
      </c>
    </row>
    <row r="253" customFormat="false" ht="11.25" hidden="false" customHeight="false" outlineLevel="0" collapsed="false">
      <c r="A253" s="1" t="str">
        <f aca="false">+A215</f>
        <v>CCC and below</v>
      </c>
      <c r="B253" s="1" t="str">
        <f aca="false">IF(IFERROR(HLOOKUP(B$2,$M$2:$BL253,$J253,FALSE()),"")="","",IFERROR(HLOOKUP(B$2,$M$2:$BL253,$J253,FALSE()),""))</f>
        <v/>
      </c>
      <c r="C253" s="1" t="str">
        <f aca="false">IF(IFERROR(HLOOKUP(C$2,$M$2:$BL253,$J253,FALSE()),"")="","",IFERROR(HLOOKUP(C$2,$M$2:$BL253,$J253,FALSE()),""))</f>
        <v/>
      </c>
      <c r="D253" s="1" t="str">
        <f aca="false">IF(IFERROR(HLOOKUP(D$2,$M$2:$BL253,$J253,FALSE()),"")="","",IFERROR(HLOOKUP(D$2,$M$2:$BL253,$J253,FALSE()),""))</f>
        <v/>
      </c>
      <c r="E253" s="1" t="str">
        <f aca="false">IF(IFERROR(HLOOKUP(E$2,$M$2:$BL253,$J253,FALSE()),"")="","",IFERROR(HLOOKUP(E$2,$M$2:$BL253,$J253,FALSE()),""))</f>
        <v/>
      </c>
      <c r="F253" s="1" t="str">
        <f aca="false">IF(IFERROR(HLOOKUP(F$2,$M$2:$BL253,$J253,FALSE()),"")="","",IFERROR(HLOOKUP(F$2,$M$2:$BL253,$J253,FALSE()),""))</f>
        <v/>
      </c>
      <c r="G253" s="1" t="str">
        <f aca="false">IF(IFERROR(HLOOKUP(G$2,$M$2:$BL253,$J253,FALSE()),"")="","",IFERROR(HLOOKUP(G$2,$M$2:$BL253,$J253,FALSE()),""))</f>
        <v/>
      </c>
    </row>
    <row r="256" customFormat="false" ht="11.25" hidden="false" customHeight="false" outlineLevel="0" collapsed="false">
      <c r="A256" s="3" t="s">
        <v>886</v>
      </c>
      <c r="U256" s="6" t="s">
        <v>887</v>
      </c>
    </row>
    <row r="257" s="14" customFormat="true" ht="11.25" hidden="false" customHeight="false" outlineLevel="0" collapsed="false">
      <c r="A257" s="13" t="str">
        <f aca="false">+A219</f>
        <v>Factor 1</v>
      </c>
      <c r="B257" s="14" t="str">
        <f aca="false">IF(IFERROR(HLOOKUP(B$2,$M$2:$BL257,$J257,FALSE()),"")="","",IFERROR(HLOOKUP(B$2,$M$2:$BL257,$J257,FALSE()),""))</f>
        <v/>
      </c>
      <c r="C257" s="14" t="str">
        <f aca="false">IF(IFERROR(HLOOKUP(C$2,$M$2:$BL257,$J257,FALSE()),"")="","",IFERROR(HLOOKUP(C$2,$M$2:$BL257,$J257,FALSE()),""))</f>
        <v/>
      </c>
      <c r="D257" s="14" t="str">
        <f aca="false">IF(IFERROR(HLOOKUP(D$2,$M$2:$BL257,$J257,FALSE()),"")="","",IFERROR(HLOOKUP(D$2,$M$2:$BL257,$J257,FALSE()),""))</f>
        <v/>
      </c>
      <c r="E257" s="14" t="str">
        <f aca="false">IF(IFERROR(HLOOKUP(E$2,$M$2:$BL257,$J257,FALSE()),"")="","",IFERROR(HLOOKUP(E$2,$M$2:$BL257,$J257,FALSE()),""))</f>
        <v/>
      </c>
      <c r="F257" s="14" t="str">
        <f aca="false">IF(IFERROR(HLOOKUP(F$2,$M$2:$BL257,$J257,FALSE()),"")="","",IFERROR(HLOOKUP(F$2,$M$2:$BL257,$J257,FALSE()),""))</f>
        <v/>
      </c>
      <c r="G257" s="14" t="str">
        <f aca="false">IF(IFERROR(HLOOKUP(G$2,$M$2:$BL257,$J257,FALSE()),"")="","",IFERROR(HLOOKUP(G$2,$M$2:$BL257,$J257,FALSE()),""))</f>
        <v/>
      </c>
      <c r="U257" s="14" t="s">
        <v>888</v>
      </c>
    </row>
    <row r="258" customFormat="false" ht="11.25" hidden="false" customHeight="false" outlineLevel="0" collapsed="false">
      <c r="A258" s="1" t="str">
        <f aca="false">+A220</f>
        <v>AA and above</v>
      </c>
      <c r="B258" s="1" t="str">
        <f aca="false">IF(IFERROR(HLOOKUP(B$2,$M$2:$BL258,$J258,FALSE()),"")="","",IFERROR(HLOOKUP(B$2,$M$2:$BL258,$J258,FALSE()),""))</f>
        <v/>
      </c>
      <c r="C258" s="1" t="str">
        <f aca="false">IF(IFERROR(HLOOKUP(C$2,$M$2:$BL258,$J258,FALSE()),"")="","",IFERROR(HLOOKUP(C$2,$M$2:$BL258,$J258,FALSE()),""))</f>
        <v/>
      </c>
      <c r="D258" s="1" t="str">
        <f aca="false">IF(IFERROR(HLOOKUP(D$2,$M$2:$BL258,$J258,FALSE()),"")="","",IFERROR(HLOOKUP(D$2,$M$2:$BL258,$J258,FALSE()),""))</f>
        <v/>
      </c>
      <c r="E258" s="1" t="str">
        <f aca="false">IF(IFERROR(HLOOKUP(E$2,$M$2:$BL258,$J258,FALSE()),"")="","",IFERROR(HLOOKUP(E$2,$M$2:$BL258,$J258,FALSE()),""))</f>
        <v/>
      </c>
      <c r="F258" s="1" t="str">
        <f aca="false">IF(IFERROR(HLOOKUP(F$2,$M$2:$BL258,$J258,FALSE()),"")="","",IFERROR(HLOOKUP(F$2,$M$2:$BL258,$J258,FALSE()),""))</f>
        <v/>
      </c>
      <c r="G258" s="1" t="str">
        <f aca="false">IF(IFERROR(HLOOKUP(G$2,$M$2:$BL258,$J258,FALSE()),"")="","",IFERROR(HLOOKUP(G$2,$M$2:$BL258,$J258,FALSE()),""))</f>
        <v/>
      </c>
      <c r="U258" s="1" t="s">
        <v>761</v>
      </c>
    </row>
    <row r="259" customFormat="false" ht="11.25" hidden="false" customHeight="false" outlineLevel="0" collapsed="false">
      <c r="A259" s="1" t="str">
        <f aca="false">+A221</f>
        <v>A</v>
      </c>
      <c r="B259" s="1" t="str">
        <f aca="false">IF(IFERROR(HLOOKUP(B$2,$M$2:$BL259,$J259,FALSE()),"")="","",IFERROR(HLOOKUP(B$2,$M$2:$BL259,$J259,FALSE()),""))</f>
        <v/>
      </c>
      <c r="C259" s="1" t="str">
        <f aca="false">IF(IFERROR(HLOOKUP(C$2,$M$2:$BL259,$J259,FALSE()),"")="","",IFERROR(HLOOKUP(C$2,$M$2:$BL259,$J259,FALSE()),""))</f>
        <v/>
      </c>
      <c r="D259" s="1" t="str">
        <f aca="false">IF(IFERROR(HLOOKUP(D$2,$M$2:$BL259,$J259,FALSE()),"")="","",IFERROR(HLOOKUP(D$2,$M$2:$BL259,$J259,FALSE()),""))</f>
        <v/>
      </c>
      <c r="E259" s="1" t="str">
        <f aca="false">IF(IFERROR(HLOOKUP(E$2,$M$2:$BL259,$J259,FALSE()),"")="","",IFERROR(HLOOKUP(E$2,$M$2:$BL259,$J259,FALSE()),""))</f>
        <v/>
      </c>
      <c r="F259" s="1" t="str">
        <f aca="false">IF(IFERROR(HLOOKUP(F$2,$M$2:$BL259,$J259,FALSE()),"")="","",IFERROR(HLOOKUP(F$2,$M$2:$BL259,$J259,FALSE()),""))</f>
        <v/>
      </c>
      <c r="G259" s="1" t="str">
        <f aca="false">IF(IFERROR(HLOOKUP(G$2,$M$2:$BL259,$J259,FALSE()),"")="","",IFERROR(HLOOKUP(G$2,$M$2:$BL259,$J259,FALSE()),""))</f>
        <v/>
      </c>
      <c r="U259" s="1" t="s">
        <v>761</v>
      </c>
    </row>
    <row r="260" customFormat="false" ht="11.25" hidden="false" customHeight="false" outlineLevel="0" collapsed="false">
      <c r="A260" s="1" t="str">
        <f aca="false">+A222</f>
        <v>BBB</v>
      </c>
      <c r="B260" s="1" t="str">
        <f aca="false">IF(IFERROR(HLOOKUP(B$2,$M$2:$BL260,$J260,FALSE()),"")="","",IFERROR(HLOOKUP(B$2,$M$2:$BL260,$J260,FALSE()),""))</f>
        <v/>
      </c>
      <c r="C260" s="1" t="str">
        <f aca="false">IF(IFERROR(HLOOKUP(C$2,$M$2:$BL260,$J260,FALSE()),"")="","",IFERROR(HLOOKUP(C$2,$M$2:$BL260,$J260,FALSE()),""))</f>
        <v/>
      </c>
      <c r="D260" s="1" t="str">
        <f aca="false">IF(IFERROR(HLOOKUP(D$2,$M$2:$BL260,$J260,FALSE()),"")="","",IFERROR(HLOOKUP(D$2,$M$2:$BL260,$J260,FALSE()),""))</f>
        <v/>
      </c>
      <c r="E260" s="1" t="str">
        <f aca="false">IF(IFERROR(HLOOKUP(E$2,$M$2:$BL260,$J260,FALSE()),"")="","",IFERROR(HLOOKUP(E$2,$M$2:$BL260,$J260,FALSE()),""))</f>
        <v/>
      </c>
      <c r="F260" s="1" t="str">
        <f aca="false">IF(IFERROR(HLOOKUP(F$2,$M$2:$BL260,$J260,FALSE()),"")="","",IFERROR(HLOOKUP(F$2,$M$2:$BL260,$J260,FALSE()),""))</f>
        <v/>
      </c>
      <c r="G260" s="1" t="str">
        <f aca="false">IF(IFERROR(HLOOKUP(G$2,$M$2:$BL260,$J260,FALSE()),"")="","",IFERROR(HLOOKUP(G$2,$M$2:$BL260,$J260,FALSE()),""))</f>
        <v/>
      </c>
      <c r="U260" s="1" t="s">
        <v>761</v>
      </c>
    </row>
    <row r="261" customFormat="false" ht="11.25" hidden="false" customHeight="false" outlineLevel="0" collapsed="false">
      <c r="A261" s="1" t="str">
        <f aca="false">+A223</f>
        <v>BB</v>
      </c>
      <c r="B261" s="1" t="str">
        <f aca="false">IF(IFERROR(HLOOKUP(B$2,$M$2:$BL261,$J261,FALSE()),"")="","",IFERROR(HLOOKUP(B$2,$M$2:$BL261,$J261,FALSE()),""))</f>
        <v/>
      </c>
      <c r="C261" s="1" t="str">
        <f aca="false">IF(IFERROR(HLOOKUP(C$2,$M$2:$BL261,$J261,FALSE()),"")="","",IFERROR(HLOOKUP(C$2,$M$2:$BL261,$J261,FALSE()),""))</f>
        <v/>
      </c>
      <c r="D261" s="1" t="str">
        <f aca="false">IF(IFERROR(HLOOKUP(D$2,$M$2:$BL261,$J261,FALSE()),"")="","",IFERROR(HLOOKUP(D$2,$M$2:$BL261,$J261,FALSE()),""))</f>
        <v/>
      </c>
      <c r="E261" s="1" t="str">
        <f aca="false">IF(IFERROR(HLOOKUP(E$2,$M$2:$BL261,$J261,FALSE()),"")="","",IFERROR(HLOOKUP(E$2,$M$2:$BL261,$J261,FALSE()),""))</f>
        <v/>
      </c>
      <c r="F261" s="1" t="str">
        <f aca="false">IF(IFERROR(HLOOKUP(F$2,$M$2:$BL261,$J261,FALSE()),"")="","",IFERROR(HLOOKUP(F$2,$M$2:$BL261,$J261,FALSE()),""))</f>
        <v/>
      </c>
      <c r="G261" s="1" t="str">
        <f aca="false">IF(IFERROR(HLOOKUP(G$2,$M$2:$BL261,$J261,FALSE()),"")="","",IFERROR(HLOOKUP(G$2,$M$2:$BL261,$J261,FALSE()),""))</f>
        <v/>
      </c>
      <c r="U261" s="1" t="s">
        <v>889</v>
      </c>
    </row>
    <row r="262" customFormat="false" ht="11.25" hidden="false" customHeight="false" outlineLevel="0" collapsed="false">
      <c r="A262" s="1" t="str">
        <f aca="false">+A224</f>
        <v>B</v>
      </c>
      <c r="B262" s="1" t="str">
        <f aca="false">IF(IFERROR(HLOOKUP(B$2,$M$2:$BL262,$J262,FALSE()),"")="","",IFERROR(HLOOKUP(B$2,$M$2:$BL262,$J262,FALSE()),""))</f>
        <v/>
      </c>
      <c r="C262" s="1" t="str">
        <f aca="false">IF(IFERROR(HLOOKUP(C$2,$M$2:$BL262,$J262,FALSE()),"")="","",IFERROR(HLOOKUP(C$2,$M$2:$BL262,$J262,FALSE()),""))</f>
        <v/>
      </c>
      <c r="D262" s="1" t="str">
        <f aca="false">IF(IFERROR(HLOOKUP(D$2,$M$2:$BL262,$J262,FALSE()),"")="","",IFERROR(HLOOKUP(D$2,$M$2:$BL262,$J262,FALSE()),""))</f>
        <v/>
      </c>
      <c r="E262" s="1" t="str">
        <f aca="false">IF(IFERROR(HLOOKUP(E$2,$M$2:$BL262,$J262,FALSE()),"")="","",IFERROR(HLOOKUP(E$2,$M$2:$BL262,$J262,FALSE()),""))</f>
        <v/>
      </c>
      <c r="F262" s="1" t="str">
        <f aca="false">IF(IFERROR(HLOOKUP(F$2,$M$2:$BL262,$J262,FALSE()),"")="","",IFERROR(HLOOKUP(F$2,$M$2:$BL262,$J262,FALSE()),""))</f>
        <v/>
      </c>
      <c r="G262" s="1" t="str">
        <f aca="false">IF(IFERROR(HLOOKUP(G$2,$M$2:$BL262,$J262,FALSE()),"")="","",IFERROR(HLOOKUP(G$2,$M$2:$BL262,$J262,FALSE()),""))</f>
        <v/>
      </c>
      <c r="U262" s="1" t="s">
        <v>889</v>
      </c>
    </row>
    <row r="263" customFormat="false" ht="11.25" hidden="false" customHeight="false" outlineLevel="0" collapsed="false">
      <c r="A263" s="1" t="str">
        <f aca="false">+A225</f>
        <v>CCC and below</v>
      </c>
      <c r="B263" s="1" t="str">
        <f aca="false">IF(IFERROR(HLOOKUP(B$2,$M$2:$BL263,$J263,FALSE()),"")="","",IFERROR(HLOOKUP(B$2,$M$2:$BL263,$J263,FALSE()),""))</f>
        <v/>
      </c>
      <c r="C263" s="1" t="str">
        <f aca="false">IF(IFERROR(HLOOKUP(C$2,$M$2:$BL263,$J263,FALSE()),"")="","",IFERROR(HLOOKUP(C$2,$M$2:$BL263,$J263,FALSE()),""))</f>
        <v/>
      </c>
      <c r="D263" s="1" t="str">
        <f aca="false">IF(IFERROR(HLOOKUP(D$2,$M$2:$BL263,$J263,FALSE()),"")="","",IFERROR(HLOOKUP(D$2,$M$2:$BL263,$J263,FALSE()),""))</f>
        <v/>
      </c>
      <c r="E263" s="1" t="str">
        <f aca="false">IF(IFERROR(HLOOKUP(E$2,$M$2:$BL263,$J263,FALSE()),"")="","",IFERROR(HLOOKUP(E$2,$M$2:$BL263,$J263,FALSE()),""))</f>
        <v/>
      </c>
      <c r="F263" s="1" t="str">
        <f aca="false">IF(IFERROR(HLOOKUP(F$2,$M$2:$BL263,$J263,FALSE()),"")="","",IFERROR(HLOOKUP(F$2,$M$2:$BL263,$J263,FALSE()),""))</f>
        <v/>
      </c>
      <c r="G263" s="1" t="str">
        <f aca="false">IF(IFERROR(HLOOKUP(G$2,$M$2:$BL263,$J263,FALSE()),"")="","",IFERROR(HLOOKUP(G$2,$M$2:$BL263,$J263,FALSE()),""))</f>
        <v/>
      </c>
      <c r="U263" s="1" t="s">
        <v>103</v>
      </c>
    </row>
    <row r="264" s="14" customFormat="true" ht="11.25" hidden="false" customHeight="false" outlineLevel="0" collapsed="false">
      <c r="A264" s="13" t="str">
        <f aca="false">+A226</f>
        <v>Factor 2</v>
      </c>
      <c r="B264" s="14" t="str">
        <f aca="false">IF(IFERROR(HLOOKUP(B$2,$M$2:$BL264,$J264,FALSE()),"")="","",IFERROR(HLOOKUP(B$2,$M$2:$BL264,$J264,FALSE()),""))</f>
        <v/>
      </c>
      <c r="C264" s="14" t="str">
        <f aca="false">IF(IFERROR(HLOOKUP(C$2,$M$2:$BL264,$J264,FALSE()),"")="","",IFERROR(HLOOKUP(C$2,$M$2:$BL264,$J264,FALSE()),""))</f>
        <v/>
      </c>
      <c r="D264" s="14" t="str">
        <f aca="false">IF(IFERROR(HLOOKUP(D$2,$M$2:$BL264,$J264,FALSE()),"")="","",IFERROR(HLOOKUP(D$2,$M$2:$BL264,$J264,FALSE()),""))</f>
        <v/>
      </c>
      <c r="E264" s="14" t="str">
        <f aca="false">IF(IFERROR(HLOOKUP(E$2,$M$2:$BL264,$J264,FALSE()),"")="","",IFERROR(HLOOKUP(E$2,$M$2:$BL264,$J264,FALSE()),""))</f>
        <v/>
      </c>
      <c r="F264" s="14" t="str">
        <f aca="false">IF(IFERROR(HLOOKUP(F$2,$M$2:$BL264,$J264,FALSE()),"")="","",IFERROR(HLOOKUP(F$2,$M$2:$BL264,$J264,FALSE()),""))</f>
        <v/>
      </c>
      <c r="G264" s="14" t="str">
        <f aca="false">IF(IFERROR(HLOOKUP(G$2,$M$2:$BL264,$J264,FALSE()),"")="","",IFERROR(HLOOKUP(G$2,$M$2:$BL264,$J264,FALSE()),""))</f>
        <v/>
      </c>
      <c r="U264" s="14" t="s">
        <v>890</v>
      </c>
    </row>
    <row r="265" customFormat="false" ht="11.25" hidden="false" customHeight="false" outlineLevel="0" collapsed="false">
      <c r="A265" s="1" t="str">
        <f aca="false">+A227</f>
        <v>AA and above</v>
      </c>
      <c r="B265" s="1" t="str">
        <f aca="false">IF(IFERROR(HLOOKUP(B$2,$M$2:$BL265,$J265,FALSE()),"")="","",IFERROR(HLOOKUP(B$2,$M$2:$BL265,$J265,FALSE()),""))</f>
        <v/>
      </c>
      <c r="C265" s="1" t="str">
        <f aca="false">IF(IFERROR(HLOOKUP(C$2,$M$2:$BL265,$J265,FALSE()),"")="","",IFERROR(HLOOKUP(C$2,$M$2:$BL265,$J265,FALSE()),""))</f>
        <v/>
      </c>
      <c r="D265" s="1" t="str">
        <f aca="false">IF(IFERROR(HLOOKUP(D$2,$M$2:$BL265,$J265,FALSE()),"")="","",IFERROR(HLOOKUP(D$2,$M$2:$BL265,$J265,FALSE()),""))</f>
        <v/>
      </c>
      <c r="E265" s="1" t="str">
        <f aca="false">IF(IFERROR(HLOOKUP(E$2,$M$2:$BL265,$J265,FALSE()),"")="","",IFERROR(HLOOKUP(E$2,$M$2:$BL265,$J265,FALSE()),""))</f>
        <v/>
      </c>
      <c r="F265" s="1" t="str">
        <f aca="false">IF(IFERROR(HLOOKUP(F$2,$M$2:$BL265,$J265,FALSE()),"")="","",IFERROR(HLOOKUP(F$2,$M$2:$BL265,$J265,FALSE()),""))</f>
        <v/>
      </c>
      <c r="G265" s="1" t="str">
        <f aca="false">IF(IFERROR(HLOOKUP(G$2,$M$2:$BL265,$J265,FALSE()),"")="","",IFERROR(HLOOKUP(G$2,$M$2:$BL265,$J265,FALSE()),""))</f>
        <v/>
      </c>
      <c r="U265" s="1" t="s">
        <v>891</v>
      </c>
    </row>
    <row r="266" customFormat="false" ht="11.25" hidden="false" customHeight="false" outlineLevel="0" collapsed="false">
      <c r="A266" s="1" t="str">
        <f aca="false">+A228</f>
        <v>A</v>
      </c>
      <c r="B266" s="1" t="str">
        <f aca="false">IF(IFERROR(HLOOKUP(B$2,$M$2:$BL266,$J266,FALSE()),"")="","",IFERROR(HLOOKUP(B$2,$M$2:$BL266,$J266,FALSE()),""))</f>
        <v/>
      </c>
      <c r="C266" s="1" t="str">
        <f aca="false">IF(IFERROR(HLOOKUP(C$2,$M$2:$BL266,$J266,FALSE()),"")="","",IFERROR(HLOOKUP(C$2,$M$2:$BL266,$J266,FALSE()),""))</f>
        <v/>
      </c>
      <c r="D266" s="1" t="str">
        <f aca="false">IF(IFERROR(HLOOKUP(D$2,$M$2:$BL266,$J266,FALSE()),"")="","",IFERROR(HLOOKUP(D$2,$M$2:$BL266,$J266,FALSE()),""))</f>
        <v/>
      </c>
      <c r="E266" s="1" t="str">
        <f aca="false">IF(IFERROR(HLOOKUP(E$2,$M$2:$BL266,$J266,FALSE()),"")="","",IFERROR(HLOOKUP(E$2,$M$2:$BL266,$J266,FALSE()),""))</f>
        <v/>
      </c>
      <c r="F266" s="1" t="str">
        <f aca="false">IF(IFERROR(HLOOKUP(F$2,$M$2:$BL266,$J266,FALSE()),"")="","",IFERROR(HLOOKUP(F$2,$M$2:$BL266,$J266,FALSE()),""))</f>
        <v/>
      </c>
      <c r="G266" s="1" t="str">
        <f aca="false">IF(IFERROR(HLOOKUP(G$2,$M$2:$BL266,$J266,FALSE()),"")="","",IFERROR(HLOOKUP(G$2,$M$2:$BL266,$J266,FALSE()),""))</f>
        <v/>
      </c>
      <c r="U266" s="1" t="s">
        <v>891</v>
      </c>
    </row>
    <row r="267" customFormat="false" ht="12.75" hidden="false" customHeight="true" outlineLevel="0" collapsed="false">
      <c r="A267" s="1" t="str">
        <f aca="false">+A229</f>
        <v>BBB</v>
      </c>
      <c r="B267" s="1" t="str">
        <f aca="false">IF(IFERROR(HLOOKUP(B$2,$M$2:$BL267,$J267,FALSE()),"")="","",IFERROR(HLOOKUP(B$2,$M$2:$BL267,$J267,FALSE()),""))</f>
        <v/>
      </c>
      <c r="C267" s="1" t="str">
        <f aca="false">IF(IFERROR(HLOOKUP(C$2,$M$2:$BL267,$J267,FALSE()),"")="","",IFERROR(HLOOKUP(C$2,$M$2:$BL267,$J267,FALSE()),""))</f>
        <v/>
      </c>
      <c r="D267" s="1" t="str">
        <f aca="false">IF(IFERROR(HLOOKUP(D$2,$M$2:$BL267,$J267,FALSE()),"")="","",IFERROR(HLOOKUP(D$2,$M$2:$BL267,$J267,FALSE()),""))</f>
        <v/>
      </c>
      <c r="E267" s="1" t="str">
        <f aca="false">IF(IFERROR(HLOOKUP(E$2,$M$2:$BL267,$J267,FALSE()),"")="","",IFERROR(HLOOKUP(E$2,$M$2:$BL267,$J267,FALSE()),""))</f>
        <v/>
      </c>
      <c r="F267" s="1" t="str">
        <f aca="false">IF(IFERROR(HLOOKUP(F$2,$M$2:$BL267,$J267,FALSE()),"")="","",IFERROR(HLOOKUP(F$2,$M$2:$BL267,$J267,FALSE()),""))</f>
        <v/>
      </c>
      <c r="G267" s="1" t="str">
        <f aca="false">IF(IFERROR(HLOOKUP(G$2,$M$2:$BL267,$J267,FALSE()),"")="","",IFERROR(HLOOKUP(G$2,$M$2:$BL267,$J267,FALSE()),""))</f>
        <v/>
      </c>
      <c r="U267" s="1" t="s">
        <v>891</v>
      </c>
    </row>
    <row r="268" customFormat="false" ht="12.75" hidden="false" customHeight="true" outlineLevel="0" collapsed="false">
      <c r="A268" s="1" t="str">
        <f aca="false">+A230</f>
        <v>BB</v>
      </c>
      <c r="B268" s="1" t="str">
        <f aca="false">IF(IFERROR(HLOOKUP(B$2,$M$2:$BL268,$J268,FALSE()),"")="","",IFERROR(HLOOKUP(B$2,$M$2:$BL268,$J268,FALSE()),""))</f>
        <v/>
      </c>
      <c r="C268" s="1" t="str">
        <f aca="false">IF(IFERROR(HLOOKUP(C$2,$M$2:$BL268,$J268,FALSE()),"")="","",IFERROR(HLOOKUP(C$2,$M$2:$BL268,$J268,FALSE()),""))</f>
        <v/>
      </c>
      <c r="D268" s="1" t="str">
        <f aca="false">IF(IFERROR(HLOOKUP(D$2,$M$2:$BL268,$J268,FALSE()),"")="","",IFERROR(HLOOKUP(D$2,$M$2:$BL268,$J268,FALSE()),""))</f>
        <v/>
      </c>
      <c r="E268" s="1" t="str">
        <f aca="false">IF(IFERROR(HLOOKUP(E$2,$M$2:$BL268,$J268,FALSE()),"")="","",IFERROR(HLOOKUP(E$2,$M$2:$BL268,$J268,FALSE()),""))</f>
        <v/>
      </c>
      <c r="F268" s="1" t="str">
        <f aca="false">IF(IFERROR(HLOOKUP(F$2,$M$2:$BL268,$J268,FALSE()),"")="","",IFERROR(HLOOKUP(F$2,$M$2:$BL268,$J268,FALSE()),""))</f>
        <v/>
      </c>
      <c r="G268" s="1" t="str">
        <f aca="false">IF(IFERROR(HLOOKUP(G$2,$M$2:$BL268,$J268,FALSE()),"")="","",IFERROR(HLOOKUP(G$2,$M$2:$BL268,$J268,FALSE()),""))</f>
        <v/>
      </c>
      <c r="U268" s="17" t="s">
        <v>892</v>
      </c>
    </row>
    <row r="269" customFormat="false" ht="12.75" hidden="false" customHeight="true" outlineLevel="0" collapsed="false">
      <c r="A269" s="1" t="str">
        <f aca="false">+A231</f>
        <v>B</v>
      </c>
      <c r="B269" s="1" t="str">
        <f aca="false">IF(IFERROR(HLOOKUP(B$2,$M$2:$BL269,$J269,FALSE()),"")="","",IFERROR(HLOOKUP(B$2,$M$2:$BL269,$J269,FALSE()),""))</f>
        <v/>
      </c>
      <c r="C269" s="1" t="str">
        <f aca="false">IF(IFERROR(HLOOKUP(C$2,$M$2:$BL269,$J269,FALSE()),"")="","",IFERROR(HLOOKUP(C$2,$M$2:$BL269,$J269,FALSE()),""))</f>
        <v/>
      </c>
      <c r="D269" s="1" t="str">
        <f aca="false">IF(IFERROR(HLOOKUP(D$2,$M$2:$BL269,$J269,FALSE()),"")="","",IFERROR(HLOOKUP(D$2,$M$2:$BL269,$J269,FALSE()),""))</f>
        <v/>
      </c>
      <c r="E269" s="1" t="str">
        <f aca="false">IF(IFERROR(HLOOKUP(E$2,$M$2:$BL269,$J269,FALSE()),"")="","",IFERROR(HLOOKUP(E$2,$M$2:$BL269,$J269,FALSE()),""))</f>
        <v/>
      </c>
      <c r="F269" s="1" t="str">
        <f aca="false">IF(IFERROR(HLOOKUP(F$2,$M$2:$BL269,$J269,FALSE()),"")="","",IFERROR(HLOOKUP(F$2,$M$2:$BL269,$J269,FALSE()),""))</f>
        <v/>
      </c>
      <c r="G269" s="1" t="str">
        <f aca="false">IF(IFERROR(HLOOKUP(G$2,$M$2:$BL269,$J269,FALSE()),"")="","",IFERROR(HLOOKUP(G$2,$M$2:$BL269,$J269,FALSE()),""))</f>
        <v/>
      </c>
      <c r="U269" s="17" t="s">
        <v>892</v>
      </c>
    </row>
    <row r="270" customFormat="false" ht="11.25" hidden="false" customHeight="false" outlineLevel="0" collapsed="false">
      <c r="A270" s="1" t="str">
        <f aca="false">+A232</f>
        <v>CCC and below</v>
      </c>
      <c r="B270" s="1" t="str">
        <f aca="false">IF(IFERROR(HLOOKUP(B$2,$M$2:$BL270,$J270,FALSE()),"")="","",IFERROR(HLOOKUP(B$2,$M$2:$BL270,$J270,FALSE()),""))</f>
        <v/>
      </c>
      <c r="C270" s="1" t="str">
        <f aca="false">IF(IFERROR(HLOOKUP(C$2,$M$2:$BL270,$J270,FALSE()),"")="","",IFERROR(HLOOKUP(C$2,$M$2:$BL270,$J270,FALSE()),""))</f>
        <v/>
      </c>
      <c r="D270" s="1" t="str">
        <f aca="false">IF(IFERROR(HLOOKUP(D$2,$M$2:$BL270,$J270,FALSE()),"")="","",IFERROR(HLOOKUP(D$2,$M$2:$BL270,$J270,FALSE()),""))</f>
        <v/>
      </c>
      <c r="E270" s="1" t="str">
        <f aca="false">IF(IFERROR(HLOOKUP(E$2,$M$2:$BL270,$J270,FALSE()),"")="","",IFERROR(HLOOKUP(E$2,$M$2:$BL270,$J270,FALSE()),""))</f>
        <v/>
      </c>
      <c r="F270" s="1" t="str">
        <f aca="false">IF(IFERROR(HLOOKUP(F$2,$M$2:$BL270,$J270,FALSE()),"")="","",IFERROR(HLOOKUP(F$2,$M$2:$BL270,$J270,FALSE()),""))</f>
        <v/>
      </c>
      <c r="G270" s="1" t="str">
        <f aca="false">IF(IFERROR(HLOOKUP(G$2,$M$2:$BL270,$J270,FALSE()),"")="","",IFERROR(HLOOKUP(G$2,$M$2:$BL270,$J270,FALSE()),""))</f>
        <v/>
      </c>
      <c r="U270" s="1" t="s">
        <v>103</v>
      </c>
    </row>
    <row r="271" s="14" customFormat="true" ht="11.25" hidden="false" customHeight="false" outlineLevel="0" collapsed="false">
      <c r="A271" s="13" t="str">
        <f aca="false">+A233</f>
        <v>Factor 3</v>
      </c>
      <c r="B271" s="14" t="str">
        <f aca="false">IF(IFERROR(HLOOKUP(B$2,$M$2:$BL271,$J271,FALSE()),"")="","",IFERROR(HLOOKUP(B$2,$M$2:$BL271,$J271,FALSE()),""))</f>
        <v/>
      </c>
      <c r="C271" s="14" t="str">
        <f aca="false">IF(IFERROR(HLOOKUP(C$2,$M$2:$BL271,$J271,FALSE()),"")="","",IFERROR(HLOOKUP(C$2,$M$2:$BL271,$J271,FALSE()),""))</f>
        <v/>
      </c>
      <c r="D271" s="14" t="str">
        <f aca="false">IF(IFERROR(HLOOKUP(D$2,$M$2:$BL271,$J271,FALSE()),"")="","",IFERROR(HLOOKUP(D$2,$M$2:$BL271,$J271,FALSE()),""))</f>
        <v/>
      </c>
      <c r="E271" s="14" t="str">
        <f aca="false">IF(IFERROR(HLOOKUP(E$2,$M$2:$BL271,$J271,FALSE()),"")="","",IFERROR(HLOOKUP(E$2,$M$2:$BL271,$J271,FALSE()),""))</f>
        <v/>
      </c>
      <c r="F271" s="14" t="str">
        <f aca="false">IF(IFERROR(HLOOKUP(F$2,$M$2:$BL271,$J271,FALSE()),"")="","",IFERROR(HLOOKUP(F$2,$M$2:$BL271,$J271,FALSE()),""))</f>
        <v/>
      </c>
      <c r="G271" s="14" t="str">
        <f aca="false">IF(IFERROR(HLOOKUP(G$2,$M$2:$BL271,$J271,FALSE()),"")="","",IFERROR(HLOOKUP(G$2,$M$2:$BL271,$J271,FALSE()),""))</f>
        <v/>
      </c>
    </row>
    <row r="272" customFormat="false" ht="11.25" hidden="false" customHeight="false" outlineLevel="0" collapsed="false">
      <c r="A272" s="1" t="str">
        <f aca="false">+A234</f>
        <v>AA and above</v>
      </c>
      <c r="B272" s="1" t="str">
        <f aca="false">IF(IFERROR(HLOOKUP(B$2,$M$2:$BL272,$J272,FALSE()),"")="","",IFERROR(HLOOKUP(B$2,$M$2:$BL272,$J272,FALSE()),""))</f>
        <v/>
      </c>
      <c r="C272" s="1" t="str">
        <f aca="false">IF(IFERROR(HLOOKUP(C$2,$M$2:$BL272,$J272,FALSE()),"")="","",IFERROR(HLOOKUP(C$2,$M$2:$BL272,$J272,FALSE()),""))</f>
        <v/>
      </c>
      <c r="D272" s="1" t="str">
        <f aca="false">IF(IFERROR(HLOOKUP(D$2,$M$2:$BL272,$J272,FALSE()),"")="","",IFERROR(HLOOKUP(D$2,$M$2:$BL272,$J272,FALSE()),""))</f>
        <v/>
      </c>
      <c r="E272" s="1" t="str">
        <f aca="false">IF(IFERROR(HLOOKUP(E$2,$M$2:$BL272,$J272,FALSE()),"")="","",IFERROR(HLOOKUP(E$2,$M$2:$BL272,$J272,FALSE()),""))</f>
        <v/>
      </c>
      <c r="F272" s="1" t="str">
        <f aca="false">IF(IFERROR(HLOOKUP(F$2,$M$2:$BL272,$J272,FALSE()),"")="","",IFERROR(HLOOKUP(F$2,$M$2:$BL272,$J272,FALSE()),""))</f>
        <v/>
      </c>
      <c r="G272" s="1" t="str">
        <f aca="false">IF(IFERROR(HLOOKUP(G$2,$M$2:$BL272,$J272,FALSE()),"")="","",IFERROR(HLOOKUP(G$2,$M$2:$BL272,$J272,FALSE()),""))</f>
        <v/>
      </c>
    </row>
    <row r="273" customFormat="false" ht="11.25" hidden="false" customHeight="false" outlineLevel="0" collapsed="false">
      <c r="A273" s="1" t="str">
        <f aca="false">+A235</f>
        <v>A</v>
      </c>
      <c r="B273" s="1" t="str">
        <f aca="false">IF(IFERROR(HLOOKUP(B$2,$M$2:$BL273,$J273,FALSE()),"")="","",IFERROR(HLOOKUP(B$2,$M$2:$BL273,$J273,FALSE()),""))</f>
        <v/>
      </c>
      <c r="C273" s="1" t="str">
        <f aca="false">IF(IFERROR(HLOOKUP(C$2,$M$2:$BL273,$J273,FALSE()),"")="","",IFERROR(HLOOKUP(C$2,$M$2:$BL273,$J273,FALSE()),""))</f>
        <v/>
      </c>
      <c r="D273" s="1" t="str">
        <f aca="false">IF(IFERROR(HLOOKUP(D$2,$M$2:$BL273,$J273,FALSE()),"")="","",IFERROR(HLOOKUP(D$2,$M$2:$BL273,$J273,FALSE()),""))</f>
        <v/>
      </c>
      <c r="E273" s="1" t="str">
        <f aca="false">IF(IFERROR(HLOOKUP(E$2,$M$2:$BL273,$J273,FALSE()),"")="","",IFERROR(HLOOKUP(E$2,$M$2:$BL273,$J273,FALSE()),""))</f>
        <v/>
      </c>
      <c r="F273" s="1" t="str">
        <f aca="false">IF(IFERROR(HLOOKUP(F$2,$M$2:$BL273,$J273,FALSE()),"")="","",IFERROR(HLOOKUP(F$2,$M$2:$BL273,$J273,FALSE()),""))</f>
        <v/>
      </c>
      <c r="G273" s="1" t="str">
        <f aca="false">IF(IFERROR(HLOOKUP(G$2,$M$2:$BL273,$J273,FALSE()),"")="","",IFERROR(HLOOKUP(G$2,$M$2:$BL273,$J273,FALSE()),""))</f>
        <v/>
      </c>
    </row>
    <row r="274" customFormat="false" ht="11.25" hidden="false" customHeight="false" outlineLevel="0" collapsed="false">
      <c r="A274" s="1" t="str">
        <f aca="false">+A236</f>
        <v>BBB</v>
      </c>
      <c r="B274" s="1" t="str">
        <f aca="false">IF(IFERROR(HLOOKUP(B$2,$M$2:$BL274,$J274,FALSE()),"")="","",IFERROR(HLOOKUP(B$2,$M$2:$BL274,$J274,FALSE()),""))</f>
        <v/>
      </c>
      <c r="C274" s="1" t="str">
        <f aca="false">IF(IFERROR(HLOOKUP(C$2,$M$2:$BL274,$J274,FALSE()),"")="","",IFERROR(HLOOKUP(C$2,$M$2:$BL274,$J274,FALSE()),""))</f>
        <v/>
      </c>
      <c r="D274" s="1" t="str">
        <f aca="false">IF(IFERROR(HLOOKUP(D$2,$M$2:$BL274,$J274,FALSE()),"")="","",IFERROR(HLOOKUP(D$2,$M$2:$BL274,$J274,FALSE()),""))</f>
        <v/>
      </c>
      <c r="E274" s="1" t="str">
        <f aca="false">IF(IFERROR(HLOOKUP(E$2,$M$2:$BL274,$J274,FALSE()),"")="","",IFERROR(HLOOKUP(E$2,$M$2:$BL274,$J274,FALSE()),""))</f>
        <v/>
      </c>
      <c r="F274" s="1" t="str">
        <f aca="false">IF(IFERROR(HLOOKUP(F$2,$M$2:$BL274,$J274,FALSE()),"")="","",IFERROR(HLOOKUP(F$2,$M$2:$BL274,$J274,FALSE()),""))</f>
        <v/>
      </c>
      <c r="G274" s="1" t="str">
        <f aca="false">IF(IFERROR(HLOOKUP(G$2,$M$2:$BL274,$J274,FALSE()),"")="","",IFERROR(HLOOKUP(G$2,$M$2:$BL274,$J274,FALSE()),""))</f>
        <v/>
      </c>
    </row>
    <row r="275" customFormat="false" ht="11.25" hidden="false" customHeight="false" outlineLevel="0" collapsed="false">
      <c r="A275" s="1" t="str">
        <f aca="false">+A237</f>
        <v>BB</v>
      </c>
      <c r="B275" s="1" t="str">
        <f aca="false">IF(IFERROR(HLOOKUP(B$2,$M$2:$BL275,$J275,FALSE()),"")="","",IFERROR(HLOOKUP(B$2,$M$2:$BL275,$J275,FALSE()),""))</f>
        <v/>
      </c>
      <c r="C275" s="1" t="str">
        <f aca="false">IF(IFERROR(HLOOKUP(C$2,$M$2:$BL275,$J275,FALSE()),"")="","",IFERROR(HLOOKUP(C$2,$M$2:$BL275,$J275,FALSE()),""))</f>
        <v/>
      </c>
      <c r="D275" s="1" t="str">
        <f aca="false">IF(IFERROR(HLOOKUP(D$2,$M$2:$BL275,$J275,FALSE()),"")="","",IFERROR(HLOOKUP(D$2,$M$2:$BL275,$J275,FALSE()),""))</f>
        <v/>
      </c>
      <c r="E275" s="1" t="str">
        <f aca="false">IF(IFERROR(HLOOKUP(E$2,$M$2:$BL275,$J275,FALSE()),"")="","",IFERROR(HLOOKUP(E$2,$M$2:$BL275,$J275,FALSE()),""))</f>
        <v/>
      </c>
      <c r="F275" s="1" t="str">
        <f aca="false">IF(IFERROR(HLOOKUP(F$2,$M$2:$BL275,$J275,FALSE()),"")="","",IFERROR(HLOOKUP(F$2,$M$2:$BL275,$J275,FALSE()),""))</f>
        <v/>
      </c>
      <c r="G275" s="1" t="str">
        <f aca="false">IF(IFERROR(HLOOKUP(G$2,$M$2:$BL275,$J275,FALSE()),"")="","",IFERROR(HLOOKUP(G$2,$M$2:$BL275,$J275,FALSE()),""))</f>
        <v/>
      </c>
    </row>
    <row r="276" customFormat="false" ht="11.25" hidden="false" customHeight="false" outlineLevel="0" collapsed="false">
      <c r="A276" s="1" t="str">
        <f aca="false">+A238</f>
        <v>B</v>
      </c>
      <c r="B276" s="1" t="str">
        <f aca="false">IF(IFERROR(HLOOKUP(B$2,$M$2:$BL276,$J276,FALSE()),"")="","",IFERROR(HLOOKUP(B$2,$M$2:$BL276,$J276,FALSE()),""))</f>
        <v/>
      </c>
      <c r="C276" s="1" t="str">
        <f aca="false">IF(IFERROR(HLOOKUP(C$2,$M$2:$BL276,$J276,FALSE()),"")="","",IFERROR(HLOOKUP(C$2,$M$2:$BL276,$J276,FALSE()),""))</f>
        <v/>
      </c>
      <c r="D276" s="1" t="str">
        <f aca="false">IF(IFERROR(HLOOKUP(D$2,$M$2:$BL276,$J276,FALSE()),"")="","",IFERROR(HLOOKUP(D$2,$M$2:$BL276,$J276,FALSE()),""))</f>
        <v/>
      </c>
      <c r="E276" s="1" t="str">
        <f aca="false">IF(IFERROR(HLOOKUP(E$2,$M$2:$BL276,$J276,FALSE()),"")="","",IFERROR(HLOOKUP(E$2,$M$2:$BL276,$J276,FALSE()),""))</f>
        <v/>
      </c>
      <c r="F276" s="1" t="str">
        <f aca="false">IF(IFERROR(HLOOKUP(F$2,$M$2:$BL276,$J276,FALSE()),"")="","",IFERROR(HLOOKUP(F$2,$M$2:$BL276,$J276,FALSE()),""))</f>
        <v/>
      </c>
      <c r="G276" s="1" t="str">
        <f aca="false">IF(IFERROR(HLOOKUP(G$2,$M$2:$BL276,$J276,FALSE()),"")="","",IFERROR(HLOOKUP(G$2,$M$2:$BL276,$J276,FALSE()),""))</f>
        <v/>
      </c>
    </row>
    <row r="277" customFormat="false" ht="11.25" hidden="false" customHeight="false" outlineLevel="0" collapsed="false">
      <c r="A277" s="1" t="str">
        <f aca="false">+A239</f>
        <v>CCC and below</v>
      </c>
      <c r="B277" s="1" t="str">
        <f aca="false">IF(IFERROR(HLOOKUP(B$2,$M$2:$BL277,$J277,FALSE()),"")="","",IFERROR(HLOOKUP(B$2,$M$2:$BL277,$J277,FALSE()),""))</f>
        <v/>
      </c>
      <c r="C277" s="1" t="str">
        <f aca="false">IF(IFERROR(HLOOKUP(C$2,$M$2:$BL277,$J277,FALSE()),"")="","",IFERROR(HLOOKUP(C$2,$M$2:$BL277,$J277,FALSE()),""))</f>
        <v/>
      </c>
      <c r="D277" s="1" t="str">
        <f aca="false">IF(IFERROR(HLOOKUP(D$2,$M$2:$BL277,$J277,FALSE()),"")="","",IFERROR(HLOOKUP(D$2,$M$2:$BL277,$J277,FALSE()),""))</f>
        <v/>
      </c>
      <c r="E277" s="1" t="str">
        <f aca="false">IF(IFERROR(HLOOKUP(E$2,$M$2:$BL277,$J277,FALSE()),"")="","",IFERROR(HLOOKUP(E$2,$M$2:$BL277,$J277,FALSE()),""))</f>
        <v/>
      </c>
      <c r="F277" s="1" t="str">
        <f aca="false">IF(IFERROR(HLOOKUP(F$2,$M$2:$BL277,$J277,FALSE()),"")="","",IFERROR(HLOOKUP(F$2,$M$2:$BL277,$J277,FALSE()),""))</f>
        <v/>
      </c>
      <c r="G277" s="1" t="str">
        <f aca="false">IF(IFERROR(HLOOKUP(G$2,$M$2:$BL277,$J277,FALSE()),"")="","",IFERROR(HLOOKUP(G$2,$M$2:$BL277,$J277,FALSE()),""))</f>
        <v/>
      </c>
    </row>
    <row r="278" s="14" customFormat="true" ht="11.25" hidden="false" customHeight="false" outlineLevel="0" collapsed="false">
      <c r="A278" s="13" t="str">
        <f aca="false">+A240</f>
        <v>Factor 4</v>
      </c>
      <c r="B278" s="14" t="str">
        <f aca="false">IF(IFERROR(HLOOKUP(B$2,$M$2:$BL278,$J278,FALSE()),"")="","",IFERROR(HLOOKUP(B$2,$M$2:$BL278,$J278,FALSE()),""))</f>
        <v/>
      </c>
      <c r="C278" s="14" t="str">
        <f aca="false">IF(IFERROR(HLOOKUP(C$2,$M$2:$BL278,$J278,FALSE()),"")="","",IFERROR(HLOOKUP(C$2,$M$2:$BL278,$J278,FALSE()),""))</f>
        <v/>
      </c>
      <c r="D278" s="14" t="str">
        <f aca="false">IF(IFERROR(HLOOKUP(D$2,$M$2:$BL278,$J278,FALSE()),"")="","",IFERROR(HLOOKUP(D$2,$M$2:$BL278,$J278,FALSE()),""))</f>
        <v/>
      </c>
      <c r="E278" s="14" t="str">
        <f aca="false">IF(IFERROR(HLOOKUP(E$2,$M$2:$BL278,$J278,FALSE()),"")="","",IFERROR(HLOOKUP(E$2,$M$2:$BL278,$J278,FALSE()),""))</f>
        <v/>
      </c>
      <c r="F278" s="14" t="str">
        <f aca="false">IF(IFERROR(HLOOKUP(F$2,$M$2:$BL278,$J278,FALSE()),"")="","",IFERROR(HLOOKUP(F$2,$M$2:$BL278,$J278,FALSE()),""))</f>
        <v/>
      </c>
      <c r="G278" s="14" t="str">
        <f aca="false">IF(IFERROR(HLOOKUP(G$2,$M$2:$BL278,$J278,FALSE()),"")="","",IFERROR(HLOOKUP(G$2,$M$2:$BL278,$J278,FALSE()),""))</f>
        <v/>
      </c>
    </row>
    <row r="279" customFormat="false" ht="11.25" hidden="false" customHeight="false" outlineLevel="0" collapsed="false">
      <c r="A279" s="1" t="str">
        <f aca="false">+A241</f>
        <v>AA and above</v>
      </c>
      <c r="B279" s="1" t="str">
        <f aca="false">IF(IFERROR(HLOOKUP(B$2,$M$2:$BL279,$J279,FALSE()),"")="","",IFERROR(HLOOKUP(B$2,$M$2:$BL279,$J279,FALSE()),""))</f>
        <v/>
      </c>
      <c r="C279" s="1" t="str">
        <f aca="false">IF(IFERROR(HLOOKUP(C$2,$M$2:$BL279,$J279,FALSE()),"")="","",IFERROR(HLOOKUP(C$2,$M$2:$BL279,$J279,FALSE()),""))</f>
        <v/>
      </c>
      <c r="D279" s="1" t="str">
        <f aca="false">IF(IFERROR(HLOOKUP(D$2,$M$2:$BL279,$J279,FALSE()),"")="","",IFERROR(HLOOKUP(D$2,$M$2:$BL279,$J279,FALSE()),""))</f>
        <v/>
      </c>
      <c r="E279" s="1" t="str">
        <f aca="false">IF(IFERROR(HLOOKUP(E$2,$M$2:$BL279,$J279,FALSE()),"")="","",IFERROR(HLOOKUP(E$2,$M$2:$BL279,$J279,FALSE()),""))</f>
        <v/>
      </c>
      <c r="F279" s="1" t="str">
        <f aca="false">IF(IFERROR(HLOOKUP(F$2,$M$2:$BL279,$J279,FALSE()),"")="","",IFERROR(HLOOKUP(F$2,$M$2:$BL279,$J279,FALSE()),""))</f>
        <v/>
      </c>
      <c r="G279" s="1" t="str">
        <f aca="false">IF(IFERROR(HLOOKUP(G$2,$M$2:$BL279,$J279,FALSE()),"")="","",IFERROR(HLOOKUP(G$2,$M$2:$BL279,$J279,FALSE()),""))</f>
        <v/>
      </c>
    </row>
    <row r="280" customFormat="false" ht="11.25" hidden="false" customHeight="false" outlineLevel="0" collapsed="false">
      <c r="A280" s="1" t="str">
        <f aca="false">+A242</f>
        <v>A</v>
      </c>
      <c r="B280" s="1" t="str">
        <f aca="false">IF(IFERROR(HLOOKUP(B$2,$M$2:$BL280,$J280,FALSE()),"")="","",IFERROR(HLOOKUP(B$2,$M$2:$BL280,$J280,FALSE()),""))</f>
        <v/>
      </c>
      <c r="C280" s="1" t="str">
        <f aca="false">IF(IFERROR(HLOOKUP(C$2,$M$2:$BL280,$J280,FALSE()),"")="","",IFERROR(HLOOKUP(C$2,$M$2:$BL280,$J280,FALSE()),""))</f>
        <v/>
      </c>
      <c r="D280" s="1" t="str">
        <f aca="false">IF(IFERROR(HLOOKUP(D$2,$M$2:$BL280,$J280,FALSE()),"")="","",IFERROR(HLOOKUP(D$2,$M$2:$BL280,$J280,FALSE()),""))</f>
        <v/>
      </c>
      <c r="E280" s="1" t="str">
        <f aca="false">IF(IFERROR(HLOOKUP(E$2,$M$2:$BL280,$J280,FALSE()),"")="","",IFERROR(HLOOKUP(E$2,$M$2:$BL280,$J280,FALSE()),""))</f>
        <v/>
      </c>
      <c r="F280" s="1" t="str">
        <f aca="false">IF(IFERROR(HLOOKUP(F$2,$M$2:$BL280,$J280,FALSE()),"")="","",IFERROR(HLOOKUP(F$2,$M$2:$BL280,$J280,FALSE()),""))</f>
        <v/>
      </c>
      <c r="G280" s="1" t="str">
        <f aca="false">IF(IFERROR(HLOOKUP(G$2,$M$2:$BL280,$J280,FALSE()),"")="","",IFERROR(HLOOKUP(G$2,$M$2:$BL280,$J280,FALSE()),""))</f>
        <v/>
      </c>
    </row>
    <row r="281" customFormat="false" ht="11.25" hidden="false" customHeight="false" outlineLevel="0" collapsed="false">
      <c r="A281" s="1" t="str">
        <f aca="false">+A243</f>
        <v>BBB</v>
      </c>
      <c r="B281" s="1" t="str">
        <f aca="false">IF(IFERROR(HLOOKUP(B$2,$M$2:$BL281,$J281,FALSE()),"")="","",IFERROR(HLOOKUP(B$2,$M$2:$BL281,$J281,FALSE()),""))</f>
        <v/>
      </c>
      <c r="C281" s="1" t="str">
        <f aca="false">IF(IFERROR(HLOOKUP(C$2,$M$2:$BL281,$J281,FALSE()),"")="","",IFERROR(HLOOKUP(C$2,$M$2:$BL281,$J281,FALSE()),""))</f>
        <v/>
      </c>
      <c r="D281" s="1" t="str">
        <f aca="false">IF(IFERROR(HLOOKUP(D$2,$M$2:$BL281,$J281,FALSE()),"")="","",IFERROR(HLOOKUP(D$2,$M$2:$BL281,$J281,FALSE()),""))</f>
        <v/>
      </c>
      <c r="E281" s="1" t="str">
        <f aca="false">IF(IFERROR(HLOOKUP(E$2,$M$2:$BL281,$J281,FALSE()),"")="","",IFERROR(HLOOKUP(E$2,$M$2:$BL281,$J281,FALSE()),""))</f>
        <v/>
      </c>
      <c r="F281" s="1" t="str">
        <f aca="false">IF(IFERROR(HLOOKUP(F$2,$M$2:$BL281,$J281,FALSE()),"")="","",IFERROR(HLOOKUP(F$2,$M$2:$BL281,$J281,FALSE()),""))</f>
        <v/>
      </c>
      <c r="G281" s="1" t="str">
        <f aca="false">IF(IFERROR(HLOOKUP(G$2,$M$2:$BL281,$J281,FALSE()),"")="","",IFERROR(HLOOKUP(G$2,$M$2:$BL281,$J281,FALSE()),""))</f>
        <v/>
      </c>
    </row>
    <row r="282" customFormat="false" ht="11.25" hidden="false" customHeight="false" outlineLevel="0" collapsed="false">
      <c r="A282" s="1" t="str">
        <f aca="false">+A244</f>
        <v>BB</v>
      </c>
      <c r="B282" s="1" t="str">
        <f aca="false">IF(IFERROR(HLOOKUP(B$2,$M$2:$BL282,$J282,FALSE()),"")="","",IFERROR(HLOOKUP(B$2,$M$2:$BL282,$J282,FALSE()),""))</f>
        <v/>
      </c>
      <c r="C282" s="1" t="str">
        <f aca="false">IF(IFERROR(HLOOKUP(C$2,$M$2:$BL282,$J282,FALSE()),"")="","",IFERROR(HLOOKUP(C$2,$M$2:$BL282,$J282,FALSE()),""))</f>
        <v/>
      </c>
      <c r="D282" s="1" t="str">
        <f aca="false">IF(IFERROR(HLOOKUP(D$2,$M$2:$BL282,$J282,FALSE()),"")="","",IFERROR(HLOOKUP(D$2,$M$2:$BL282,$J282,FALSE()),""))</f>
        <v/>
      </c>
      <c r="E282" s="1" t="str">
        <f aca="false">IF(IFERROR(HLOOKUP(E$2,$M$2:$BL282,$J282,FALSE()),"")="","",IFERROR(HLOOKUP(E$2,$M$2:$BL282,$J282,FALSE()),""))</f>
        <v/>
      </c>
      <c r="F282" s="1" t="str">
        <f aca="false">IF(IFERROR(HLOOKUP(F$2,$M$2:$BL282,$J282,FALSE()),"")="","",IFERROR(HLOOKUP(F$2,$M$2:$BL282,$J282,FALSE()),""))</f>
        <v/>
      </c>
      <c r="G282" s="1" t="str">
        <f aca="false">IF(IFERROR(HLOOKUP(G$2,$M$2:$BL282,$J282,FALSE()),"")="","",IFERROR(HLOOKUP(G$2,$M$2:$BL282,$J282,FALSE()),""))</f>
        <v/>
      </c>
    </row>
    <row r="283" customFormat="false" ht="11.25" hidden="false" customHeight="false" outlineLevel="0" collapsed="false">
      <c r="A283" s="1" t="str">
        <f aca="false">+A245</f>
        <v>B</v>
      </c>
      <c r="B283" s="1" t="str">
        <f aca="false">IF(IFERROR(HLOOKUP(B$2,$M$2:$BL283,$J283,FALSE()),"")="","",IFERROR(HLOOKUP(B$2,$M$2:$BL283,$J283,FALSE()),""))</f>
        <v/>
      </c>
      <c r="C283" s="1" t="str">
        <f aca="false">IF(IFERROR(HLOOKUP(C$2,$M$2:$BL283,$J283,FALSE()),"")="","",IFERROR(HLOOKUP(C$2,$M$2:$BL283,$J283,FALSE()),""))</f>
        <v/>
      </c>
      <c r="D283" s="1" t="str">
        <f aca="false">IF(IFERROR(HLOOKUP(D$2,$M$2:$BL283,$J283,FALSE()),"")="","",IFERROR(HLOOKUP(D$2,$M$2:$BL283,$J283,FALSE()),""))</f>
        <v/>
      </c>
      <c r="E283" s="1" t="str">
        <f aca="false">IF(IFERROR(HLOOKUP(E$2,$M$2:$BL283,$J283,FALSE()),"")="","",IFERROR(HLOOKUP(E$2,$M$2:$BL283,$J283,FALSE()),""))</f>
        <v/>
      </c>
      <c r="F283" s="1" t="str">
        <f aca="false">IF(IFERROR(HLOOKUP(F$2,$M$2:$BL283,$J283,FALSE()),"")="","",IFERROR(HLOOKUP(F$2,$M$2:$BL283,$J283,FALSE()),""))</f>
        <v/>
      </c>
      <c r="G283" s="1" t="str">
        <f aca="false">IF(IFERROR(HLOOKUP(G$2,$M$2:$BL283,$J283,FALSE()),"")="","",IFERROR(HLOOKUP(G$2,$M$2:$BL283,$J283,FALSE()),""))</f>
        <v/>
      </c>
    </row>
    <row r="284" customFormat="false" ht="11.25" hidden="false" customHeight="false" outlineLevel="0" collapsed="false">
      <c r="A284" s="1" t="str">
        <f aca="false">+A246</f>
        <v>CCC and below</v>
      </c>
      <c r="B284" s="1" t="str">
        <f aca="false">IF(IFERROR(HLOOKUP(B$2,$M$2:$BL284,$J284,FALSE()),"")="","",IFERROR(HLOOKUP(B$2,$M$2:$BL284,$J284,FALSE()),""))</f>
        <v/>
      </c>
      <c r="C284" s="1" t="str">
        <f aca="false">IF(IFERROR(HLOOKUP(C$2,$M$2:$BL284,$J284,FALSE()),"")="","",IFERROR(HLOOKUP(C$2,$M$2:$BL284,$J284,FALSE()),""))</f>
        <v/>
      </c>
      <c r="D284" s="1" t="str">
        <f aca="false">IF(IFERROR(HLOOKUP(D$2,$M$2:$BL284,$J284,FALSE()),"")="","",IFERROR(HLOOKUP(D$2,$M$2:$BL284,$J284,FALSE()),""))</f>
        <v/>
      </c>
      <c r="E284" s="1" t="str">
        <f aca="false">IF(IFERROR(HLOOKUP(E$2,$M$2:$BL284,$J284,FALSE()),"")="","",IFERROR(HLOOKUP(E$2,$M$2:$BL284,$J284,FALSE()),""))</f>
        <v/>
      </c>
      <c r="F284" s="1" t="str">
        <f aca="false">IF(IFERROR(HLOOKUP(F$2,$M$2:$BL284,$J284,FALSE()),"")="","",IFERROR(HLOOKUP(F$2,$M$2:$BL284,$J284,FALSE()),""))</f>
        <v/>
      </c>
      <c r="G284" s="1" t="str">
        <f aca="false">IF(IFERROR(HLOOKUP(G$2,$M$2:$BL284,$J284,FALSE()),"")="","",IFERROR(HLOOKUP(G$2,$M$2:$BL284,$J284,FALSE()),""))</f>
        <v/>
      </c>
    </row>
    <row r="285" s="14" customFormat="true" ht="11.25" hidden="false" customHeight="false" outlineLevel="0" collapsed="false">
      <c r="A285" s="13" t="str">
        <f aca="false">+A247</f>
        <v>Factor 5</v>
      </c>
      <c r="B285" s="14" t="str">
        <f aca="false">IF(IFERROR(HLOOKUP(B$2,$M$2:$BL285,$J285,FALSE()),"")="","",IFERROR(HLOOKUP(B$2,$M$2:$BL285,$J285,FALSE()),""))</f>
        <v/>
      </c>
      <c r="C285" s="14" t="str">
        <f aca="false">IF(IFERROR(HLOOKUP(C$2,$M$2:$BL285,$J285,FALSE()),"")="","",IFERROR(HLOOKUP(C$2,$M$2:$BL285,$J285,FALSE()),""))</f>
        <v/>
      </c>
      <c r="D285" s="14" t="str">
        <f aca="false">IF(IFERROR(HLOOKUP(D$2,$M$2:$BL285,$J285,FALSE()),"")="","",IFERROR(HLOOKUP(D$2,$M$2:$BL285,$J285,FALSE()),""))</f>
        <v/>
      </c>
      <c r="E285" s="14" t="str">
        <f aca="false">IF(IFERROR(HLOOKUP(E$2,$M$2:$BL285,$J285,FALSE()),"")="","",IFERROR(HLOOKUP(E$2,$M$2:$BL285,$J285,FALSE()),""))</f>
        <v/>
      </c>
      <c r="F285" s="14" t="str">
        <f aca="false">IF(IFERROR(HLOOKUP(F$2,$M$2:$BL285,$J285,FALSE()),"")="","",IFERROR(HLOOKUP(F$2,$M$2:$BL285,$J285,FALSE()),""))</f>
        <v/>
      </c>
      <c r="G285" s="14" t="str">
        <f aca="false">IF(IFERROR(HLOOKUP(G$2,$M$2:$BL285,$J285,FALSE()),"")="","",IFERROR(HLOOKUP(G$2,$M$2:$BL285,$J285,FALSE()),""))</f>
        <v/>
      </c>
    </row>
    <row r="286" customFormat="false" ht="11.25" hidden="false" customHeight="false" outlineLevel="0" collapsed="false">
      <c r="A286" s="1" t="str">
        <f aca="false">+A248</f>
        <v>AA and above</v>
      </c>
      <c r="B286" s="1" t="str">
        <f aca="false">IF(IFERROR(HLOOKUP(B$2,$M$2:$BL286,$J286,FALSE()),"")="","",IFERROR(HLOOKUP(B$2,$M$2:$BL286,$J286,FALSE()),""))</f>
        <v/>
      </c>
      <c r="C286" s="1" t="str">
        <f aca="false">IF(IFERROR(HLOOKUP(C$2,$M$2:$BL286,$J286,FALSE()),"")="","",IFERROR(HLOOKUP(C$2,$M$2:$BL286,$J286,FALSE()),""))</f>
        <v/>
      </c>
      <c r="D286" s="1" t="str">
        <f aca="false">IF(IFERROR(HLOOKUP(D$2,$M$2:$BL286,$J286,FALSE()),"")="","",IFERROR(HLOOKUP(D$2,$M$2:$BL286,$J286,FALSE()),""))</f>
        <v/>
      </c>
      <c r="E286" s="1" t="str">
        <f aca="false">IF(IFERROR(HLOOKUP(E$2,$M$2:$BL286,$J286,FALSE()),"")="","",IFERROR(HLOOKUP(E$2,$M$2:$BL286,$J286,FALSE()),""))</f>
        <v/>
      </c>
      <c r="F286" s="1" t="str">
        <f aca="false">IF(IFERROR(HLOOKUP(F$2,$M$2:$BL286,$J286,FALSE()),"")="","",IFERROR(HLOOKUP(F$2,$M$2:$BL286,$J286,FALSE()),""))</f>
        <v/>
      </c>
      <c r="G286" s="1" t="str">
        <f aca="false">IF(IFERROR(HLOOKUP(G$2,$M$2:$BL286,$J286,FALSE()),"")="","",IFERROR(HLOOKUP(G$2,$M$2:$BL286,$J286,FALSE()),""))</f>
        <v/>
      </c>
    </row>
    <row r="287" customFormat="false" ht="11.25" hidden="false" customHeight="false" outlineLevel="0" collapsed="false">
      <c r="A287" s="1" t="str">
        <f aca="false">+A249</f>
        <v>A</v>
      </c>
      <c r="B287" s="1" t="str">
        <f aca="false">IF(IFERROR(HLOOKUP(B$2,$M$2:$BL287,$J287,FALSE()),"")="","",IFERROR(HLOOKUP(B$2,$M$2:$BL287,$J287,FALSE()),""))</f>
        <v/>
      </c>
      <c r="C287" s="1" t="str">
        <f aca="false">IF(IFERROR(HLOOKUP(C$2,$M$2:$BL287,$J287,FALSE()),"")="","",IFERROR(HLOOKUP(C$2,$M$2:$BL287,$J287,FALSE()),""))</f>
        <v/>
      </c>
      <c r="D287" s="1" t="str">
        <f aca="false">IF(IFERROR(HLOOKUP(D$2,$M$2:$BL287,$J287,FALSE()),"")="","",IFERROR(HLOOKUP(D$2,$M$2:$BL287,$J287,FALSE()),""))</f>
        <v/>
      </c>
      <c r="E287" s="1" t="str">
        <f aca="false">IF(IFERROR(HLOOKUP(E$2,$M$2:$BL287,$J287,FALSE()),"")="","",IFERROR(HLOOKUP(E$2,$M$2:$BL287,$J287,FALSE()),""))</f>
        <v/>
      </c>
      <c r="F287" s="1" t="str">
        <f aca="false">IF(IFERROR(HLOOKUP(F$2,$M$2:$BL287,$J287,FALSE()),"")="","",IFERROR(HLOOKUP(F$2,$M$2:$BL287,$J287,FALSE()),""))</f>
        <v/>
      </c>
      <c r="G287" s="1" t="str">
        <f aca="false">IF(IFERROR(HLOOKUP(G$2,$M$2:$BL287,$J287,FALSE()),"")="","",IFERROR(HLOOKUP(G$2,$M$2:$BL287,$J287,FALSE()),""))</f>
        <v/>
      </c>
    </row>
    <row r="288" customFormat="false" ht="11.25" hidden="false" customHeight="false" outlineLevel="0" collapsed="false">
      <c r="A288" s="1" t="str">
        <f aca="false">+A250</f>
        <v>BBB</v>
      </c>
      <c r="B288" s="1" t="str">
        <f aca="false">IF(IFERROR(HLOOKUP(B$2,$M$2:$BL288,$J288,FALSE()),"")="","",IFERROR(HLOOKUP(B$2,$M$2:$BL288,$J288,FALSE()),""))</f>
        <v/>
      </c>
      <c r="C288" s="1" t="str">
        <f aca="false">IF(IFERROR(HLOOKUP(C$2,$M$2:$BL288,$J288,FALSE()),"")="","",IFERROR(HLOOKUP(C$2,$M$2:$BL288,$J288,FALSE()),""))</f>
        <v/>
      </c>
      <c r="D288" s="1" t="str">
        <f aca="false">IF(IFERROR(HLOOKUP(D$2,$M$2:$BL288,$J288,FALSE()),"")="","",IFERROR(HLOOKUP(D$2,$M$2:$BL288,$J288,FALSE()),""))</f>
        <v/>
      </c>
      <c r="E288" s="1" t="str">
        <f aca="false">IF(IFERROR(HLOOKUP(E$2,$M$2:$BL288,$J288,FALSE()),"")="","",IFERROR(HLOOKUP(E$2,$M$2:$BL288,$J288,FALSE()),""))</f>
        <v/>
      </c>
      <c r="F288" s="1" t="str">
        <f aca="false">IF(IFERROR(HLOOKUP(F$2,$M$2:$BL288,$J288,FALSE()),"")="","",IFERROR(HLOOKUP(F$2,$M$2:$BL288,$J288,FALSE()),""))</f>
        <v/>
      </c>
      <c r="G288" s="1" t="str">
        <f aca="false">IF(IFERROR(HLOOKUP(G$2,$M$2:$BL288,$J288,FALSE()),"")="","",IFERROR(HLOOKUP(G$2,$M$2:$BL288,$J288,FALSE()),""))</f>
        <v/>
      </c>
    </row>
    <row r="289" customFormat="false" ht="11.25" hidden="false" customHeight="false" outlineLevel="0" collapsed="false">
      <c r="A289" s="1" t="str">
        <f aca="false">+A251</f>
        <v>BB</v>
      </c>
      <c r="B289" s="1" t="str">
        <f aca="false">IF(IFERROR(HLOOKUP(B$2,$M$2:$BL289,$J289,FALSE()),"")="","",IFERROR(HLOOKUP(B$2,$M$2:$BL289,$J289,FALSE()),""))</f>
        <v/>
      </c>
      <c r="C289" s="1" t="str">
        <f aca="false">IF(IFERROR(HLOOKUP(C$2,$M$2:$BL289,$J289,FALSE()),"")="","",IFERROR(HLOOKUP(C$2,$M$2:$BL289,$J289,FALSE()),""))</f>
        <v/>
      </c>
      <c r="D289" s="1" t="str">
        <f aca="false">IF(IFERROR(HLOOKUP(D$2,$M$2:$BL289,$J289,FALSE()),"")="","",IFERROR(HLOOKUP(D$2,$M$2:$BL289,$J289,FALSE()),""))</f>
        <v/>
      </c>
      <c r="E289" s="1" t="str">
        <f aca="false">IF(IFERROR(HLOOKUP(E$2,$M$2:$BL289,$J289,FALSE()),"")="","",IFERROR(HLOOKUP(E$2,$M$2:$BL289,$J289,FALSE()),""))</f>
        <v/>
      </c>
      <c r="F289" s="1" t="str">
        <f aca="false">IF(IFERROR(HLOOKUP(F$2,$M$2:$BL289,$J289,FALSE()),"")="","",IFERROR(HLOOKUP(F$2,$M$2:$BL289,$J289,FALSE()),""))</f>
        <v/>
      </c>
      <c r="G289" s="1" t="str">
        <f aca="false">IF(IFERROR(HLOOKUP(G$2,$M$2:$BL289,$J289,FALSE()),"")="","",IFERROR(HLOOKUP(G$2,$M$2:$BL289,$J289,FALSE()),""))</f>
        <v/>
      </c>
    </row>
    <row r="290" customFormat="false" ht="11.25" hidden="false" customHeight="false" outlineLevel="0" collapsed="false">
      <c r="A290" s="1" t="str">
        <f aca="false">+A252</f>
        <v>B</v>
      </c>
      <c r="B290" s="1" t="str">
        <f aca="false">IF(IFERROR(HLOOKUP(B$2,$M$2:$BL290,$J290,FALSE()),"")="","",IFERROR(HLOOKUP(B$2,$M$2:$BL290,$J290,FALSE()),""))</f>
        <v/>
      </c>
      <c r="C290" s="1" t="str">
        <f aca="false">IF(IFERROR(HLOOKUP(C$2,$M$2:$BL290,$J290,FALSE()),"")="","",IFERROR(HLOOKUP(C$2,$M$2:$BL290,$J290,FALSE()),""))</f>
        <v/>
      </c>
      <c r="D290" s="1" t="str">
        <f aca="false">IF(IFERROR(HLOOKUP(D$2,$M$2:$BL290,$J290,FALSE()),"")="","",IFERROR(HLOOKUP(D$2,$M$2:$BL290,$J290,FALSE()),""))</f>
        <v/>
      </c>
      <c r="E290" s="1" t="str">
        <f aca="false">IF(IFERROR(HLOOKUP(E$2,$M$2:$BL290,$J290,FALSE()),"")="","",IFERROR(HLOOKUP(E$2,$M$2:$BL290,$J290,FALSE()),""))</f>
        <v/>
      </c>
      <c r="F290" s="1" t="str">
        <f aca="false">IF(IFERROR(HLOOKUP(F$2,$M$2:$BL290,$J290,FALSE()),"")="","",IFERROR(HLOOKUP(F$2,$M$2:$BL290,$J290,FALSE()),""))</f>
        <v/>
      </c>
      <c r="G290" s="1" t="str">
        <f aca="false">IF(IFERROR(HLOOKUP(G$2,$M$2:$BL290,$J290,FALSE()),"")="","",IFERROR(HLOOKUP(G$2,$M$2:$BL290,$J290,FALSE()),""))</f>
        <v/>
      </c>
    </row>
    <row r="291" customFormat="false" ht="11.25" hidden="false" customHeight="false" outlineLevel="0" collapsed="false">
      <c r="A291" s="1" t="str">
        <f aca="false">+A253</f>
        <v>CCC and below</v>
      </c>
      <c r="B291" s="1" t="str">
        <f aca="false">IF(IFERROR(HLOOKUP(B$2,$M$2:$BL291,$J291,FALSE()),"")="","",IFERROR(HLOOKUP(B$2,$M$2:$BL291,$J291,FALSE()),""))</f>
        <v/>
      </c>
      <c r="C291" s="1" t="str">
        <f aca="false">IF(IFERROR(HLOOKUP(C$2,$M$2:$BL291,$J291,FALSE()),"")="","",IFERROR(HLOOKUP(C$2,$M$2:$BL291,$J291,FALSE()),""))</f>
        <v/>
      </c>
      <c r="D291" s="1" t="str">
        <f aca="false">IF(IFERROR(HLOOKUP(D$2,$M$2:$BL291,$J291,FALSE()),"")="","",IFERROR(HLOOKUP(D$2,$M$2:$BL291,$J291,FALSE()),""))</f>
        <v/>
      </c>
      <c r="E291" s="1" t="str">
        <f aca="false">IF(IFERROR(HLOOKUP(E$2,$M$2:$BL291,$J291,FALSE()),"")="","",IFERROR(HLOOKUP(E$2,$M$2:$BL291,$J291,FALSE()),""))</f>
        <v/>
      </c>
      <c r="F291" s="1" t="str">
        <f aca="false">IF(IFERROR(HLOOKUP(F$2,$M$2:$BL291,$J291,FALSE()),"")="","",IFERROR(HLOOKUP(F$2,$M$2:$BL291,$J291,FALSE()),""))</f>
        <v/>
      </c>
      <c r="G291" s="1" t="str">
        <f aca="false">IF(IFERROR(HLOOKUP(G$2,$M$2:$BL291,$J291,FALSE()),"")="","",IFERROR(HLOOKUP(G$2,$M$2:$BL291,$J291,FALSE()),""))</f>
        <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C724"/>
  <sheetViews>
    <sheetView showFormulas="false" showGridLines="true" showRowColHeaders="true" showZeros="true" rightToLeft="false" tabSelected="false" showOutlineSymbols="true" defaultGridColor="true" view="normal" topLeftCell="AN1" colorId="64" zoomScale="100" zoomScaleNormal="100" zoomScalePageLayoutView="100" workbookViewId="0">
      <selection pane="topLeft" activeCell="AT22" activeCellId="0" sqref="AT22"/>
    </sheetView>
  </sheetViews>
  <sheetFormatPr defaultColWidth="8.46875" defaultRowHeight="15" customHeight="false" zeroHeight="false" outlineLevelRow="0" outlineLevelCol="0"/>
  <cols>
    <col collapsed="false" customWidth="true" hidden="false" outlineLevel="0" max="1" min="1" style="22" width="37.7"/>
    <col collapsed="false" customWidth="true" hidden="false" outlineLevel="0" max="2" min="2" style="22" width="37.4"/>
    <col collapsed="false" customWidth="true" hidden="false" outlineLevel="0" max="3" min="3" style="22" width="24.1"/>
    <col collapsed="false" customWidth="true" hidden="false" outlineLevel="0" max="4" min="4" style="22" width="16.4"/>
    <col collapsed="false" customWidth="true" hidden="false" outlineLevel="0" max="5" min="5" style="22" width="10.6"/>
    <col collapsed="false" customWidth="true" hidden="false" outlineLevel="0" max="6" min="6" style="22" width="10.9"/>
    <col collapsed="false" customWidth="true" hidden="false" outlineLevel="0" max="7" min="7" style="22" width="19.5"/>
    <col collapsed="false" customWidth="true" hidden="false" outlineLevel="0" max="8" min="8" style="22" width="9.7"/>
    <col collapsed="false" customWidth="true" hidden="false" outlineLevel="0" max="9" min="9" style="22" width="18.6"/>
    <col collapsed="false" customWidth="true" hidden="false" outlineLevel="0" max="10" min="10" style="22" width="13.69"/>
    <col collapsed="false" customWidth="true" hidden="false" outlineLevel="0" max="15" min="11" style="22" width="16.4"/>
    <col collapsed="false" customWidth="true" hidden="false" outlineLevel="0" max="16" min="16" style="22" width="8"/>
    <col collapsed="false" customWidth="true" hidden="false" outlineLevel="0" max="17" min="17" style="22" width="16.4"/>
    <col collapsed="false" customWidth="true" hidden="false" outlineLevel="0" max="18" min="18" style="22" width="5.2"/>
    <col collapsed="false" customWidth="true" hidden="false" outlineLevel="0" max="19" min="19" style="22" width="9.1"/>
    <col collapsed="false" customWidth="true" hidden="false" outlineLevel="0" max="20" min="20" style="22" width="7"/>
    <col collapsed="false" customWidth="true" hidden="false" outlineLevel="0" max="21" min="21" style="22" width="15.7"/>
    <col collapsed="false" customWidth="true" hidden="false" outlineLevel="0" max="22" min="22" style="22" width="20.2"/>
    <col collapsed="false" customWidth="true" hidden="false" outlineLevel="0" max="23" min="23" style="22" width="23.1"/>
    <col collapsed="false" customWidth="true" hidden="false" outlineLevel="0" max="24" min="24" style="22" width="16.4"/>
    <col collapsed="false" customWidth="true" hidden="false" outlineLevel="0" max="25" min="25" style="22" width="19.2"/>
    <col collapsed="false" customWidth="true" hidden="false" outlineLevel="0" max="26" min="26" style="22" width="19.7"/>
    <col collapsed="false" customWidth="true" hidden="false" outlineLevel="0" max="27" min="27" style="22" width="28.1"/>
    <col collapsed="false" customWidth="true" hidden="false" outlineLevel="0" max="28" min="28" style="22" width="16.5"/>
    <col collapsed="false" customWidth="true" hidden="false" outlineLevel="0" max="29" min="29" style="22" width="12.9"/>
    <col collapsed="false" customWidth="true" hidden="false" outlineLevel="0" max="31" min="30" style="23" width="9"/>
    <col collapsed="false" customWidth="true" hidden="false" outlineLevel="0" max="32" min="32" style="23" width="55"/>
    <col collapsed="false" customWidth="true" hidden="false" outlineLevel="0" max="33" min="33" style="23" width="36.4"/>
    <col collapsed="false" customWidth="true" hidden="false" outlineLevel="0" max="34" min="34" style="23" width="37"/>
    <col collapsed="false" customWidth="true" hidden="false" outlineLevel="0" max="35" min="35" style="23" width="27.4"/>
    <col collapsed="false" customWidth="true" hidden="false" outlineLevel="0" max="36" min="36" style="23" width="17.9"/>
    <col collapsed="false" customWidth="true" hidden="false" outlineLevel="0" max="37" min="37" style="23" width="28.4"/>
    <col collapsed="false" customWidth="true" hidden="false" outlineLevel="0" max="38" min="38" style="23" width="33.7"/>
    <col collapsed="false" customWidth="true" hidden="false" outlineLevel="0" max="39" min="39" style="23" width="19"/>
    <col collapsed="false" customWidth="true" hidden="false" outlineLevel="0" max="40" min="40" style="23" width="19.9"/>
    <col collapsed="false" customWidth="true" hidden="false" outlineLevel="0" max="41" min="41" style="23" width="15"/>
    <col collapsed="false" customWidth="true" hidden="false" outlineLevel="0" max="42" min="42" style="23" width="14.6"/>
    <col collapsed="false" customWidth="true" hidden="false" outlineLevel="0" max="44" min="43" style="23" width="7.7"/>
    <col collapsed="false" customWidth="true" hidden="false" outlineLevel="0" max="45" min="45" style="23" width="11.1"/>
    <col collapsed="false" customWidth="true" hidden="false" outlineLevel="0" max="46" min="46" style="23" width="11.5"/>
    <col collapsed="false" customWidth="true" hidden="false" outlineLevel="0" max="47" min="47" style="23" width="15"/>
    <col collapsed="false" customWidth="true" hidden="false" outlineLevel="0" max="55" min="55" style="23" width="34.7"/>
    <col collapsed="false" customWidth="true" hidden="false" outlineLevel="0" max="70" min="70" style="23" width="30.2"/>
    <col collapsed="false" customWidth="true" hidden="false" outlineLevel="0" max="71" min="71" style="23" width="20.2"/>
    <col collapsed="false" customWidth="true" hidden="false" outlineLevel="0" max="81" min="81" style="23" width="15.4"/>
    <col collapsed="false" customWidth="true" hidden="false" outlineLevel="0" max="82" min="82" style="23" width="22"/>
  </cols>
  <sheetData>
    <row r="1" s="27" customFormat="true" ht="24" hidden="false" customHeight="true" outlineLevel="0" collapsed="false">
      <c r="A1" s="24" t="s">
        <v>893</v>
      </c>
      <c r="B1" s="24" t="s">
        <v>894</v>
      </c>
      <c r="C1" s="24" t="s">
        <v>895</v>
      </c>
      <c r="D1" s="24" t="s">
        <v>896</v>
      </c>
      <c r="E1" s="24" t="s">
        <v>11</v>
      </c>
      <c r="F1" s="24" t="s">
        <v>12</v>
      </c>
      <c r="G1" s="24" t="s">
        <v>897</v>
      </c>
      <c r="H1" s="24" t="s">
        <v>898</v>
      </c>
      <c r="I1" s="24" t="s">
        <v>899</v>
      </c>
      <c r="J1" s="24" t="s">
        <v>900</v>
      </c>
      <c r="K1" s="24" t="s">
        <v>901</v>
      </c>
      <c r="L1" s="24" t="s">
        <v>902</v>
      </c>
      <c r="M1" s="24" t="s">
        <v>903</v>
      </c>
      <c r="N1" s="24" t="s">
        <v>904</v>
      </c>
      <c r="O1" s="24" t="s">
        <v>905</v>
      </c>
      <c r="P1" s="24" t="s">
        <v>906</v>
      </c>
      <c r="Q1" s="24" t="s">
        <v>907</v>
      </c>
      <c r="R1" s="24" t="s">
        <v>908</v>
      </c>
      <c r="S1" s="24" t="s">
        <v>909</v>
      </c>
      <c r="T1" s="24" t="s">
        <v>910</v>
      </c>
      <c r="U1" s="24" t="s">
        <v>911</v>
      </c>
      <c r="V1" s="24" t="s">
        <v>912</v>
      </c>
      <c r="W1" s="24" t="s">
        <v>913</v>
      </c>
      <c r="X1" s="24" t="s">
        <v>914</v>
      </c>
      <c r="Y1" s="24" t="s">
        <v>915</v>
      </c>
      <c r="Z1" s="24" t="s">
        <v>916</v>
      </c>
      <c r="AA1" s="24" t="s">
        <v>917</v>
      </c>
      <c r="AB1" s="24" t="s">
        <v>918</v>
      </c>
      <c r="AC1" s="24" t="s">
        <v>919</v>
      </c>
      <c r="AD1" s="25" t="s">
        <v>920</v>
      </c>
      <c r="AE1" s="25" t="s">
        <v>921</v>
      </c>
      <c r="AF1" s="24" t="s">
        <v>922</v>
      </c>
      <c r="AG1" s="24" t="s">
        <v>923</v>
      </c>
      <c r="AH1" s="24" t="s">
        <v>924</v>
      </c>
      <c r="AI1" s="24" t="s">
        <v>925</v>
      </c>
      <c r="AJ1" s="24" t="s">
        <v>926</v>
      </c>
      <c r="AK1" s="24" t="s">
        <v>927</v>
      </c>
      <c r="AL1" s="24" t="s">
        <v>928</v>
      </c>
      <c r="AM1" s="24" t="s">
        <v>929</v>
      </c>
      <c r="AN1" s="24" t="s">
        <v>930</v>
      </c>
      <c r="AO1" s="24" t="s">
        <v>931</v>
      </c>
      <c r="AP1" s="24" t="s">
        <v>932</v>
      </c>
      <c r="AQ1" s="26" t="s">
        <v>933</v>
      </c>
      <c r="AR1" s="26" t="s">
        <v>934</v>
      </c>
      <c r="AS1" s="26" t="s">
        <v>935</v>
      </c>
      <c r="AT1" s="26" t="s">
        <v>936</v>
      </c>
      <c r="AU1" s="26" t="s">
        <v>937</v>
      </c>
    </row>
    <row r="2" s="31" customFormat="true" ht="11.25" hidden="false" customHeight="true" outlineLevel="0" collapsed="false">
      <c r="A2" s="9" t="s">
        <v>938</v>
      </c>
      <c r="B2" s="9" t="s">
        <v>28</v>
      </c>
      <c r="C2" s="28" t="s">
        <v>72</v>
      </c>
      <c r="D2" s="28" t="s">
        <v>939</v>
      </c>
      <c r="E2" s="9" t="s">
        <v>29</v>
      </c>
      <c r="F2" s="28" t="s">
        <v>30</v>
      </c>
      <c r="G2" s="29" t="s">
        <v>940</v>
      </c>
      <c r="H2" s="28" t="s">
        <v>941</v>
      </c>
      <c r="I2" s="28" t="s">
        <v>942</v>
      </c>
      <c r="J2" s="28" t="s">
        <v>943</v>
      </c>
      <c r="K2" s="28" t="s">
        <v>944</v>
      </c>
      <c r="L2" s="28" t="s">
        <v>945</v>
      </c>
      <c r="M2" s="28" t="n">
        <v>31</v>
      </c>
      <c r="N2" s="28" t="s">
        <v>946</v>
      </c>
      <c r="O2" s="28" t="s">
        <v>947</v>
      </c>
      <c r="P2" s="28" t="s">
        <v>948</v>
      </c>
      <c r="Q2" s="28" t="n">
        <v>2007</v>
      </c>
      <c r="R2" s="28" t="s">
        <v>949</v>
      </c>
      <c r="S2" s="28" t="s">
        <v>950</v>
      </c>
      <c r="T2" s="28" t="s">
        <v>951</v>
      </c>
      <c r="U2" s="28" t="s">
        <v>952</v>
      </c>
      <c r="V2" s="28" t="s">
        <v>953</v>
      </c>
      <c r="W2" s="28" t="s">
        <v>954</v>
      </c>
      <c r="X2" s="28" t="s">
        <v>955</v>
      </c>
      <c r="Y2" s="28" t="s">
        <v>956</v>
      </c>
      <c r="Z2" s="28" t="s">
        <v>957</v>
      </c>
      <c r="AA2" s="30" t="s">
        <v>958</v>
      </c>
      <c r="AB2" s="28" t="s">
        <v>959</v>
      </c>
      <c r="AC2" s="28" t="s">
        <v>960</v>
      </c>
      <c r="AD2" s="31" t="s">
        <v>961</v>
      </c>
      <c r="AE2" s="31" t="s">
        <v>962</v>
      </c>
      <c r="AF2" s="31" t="s">
        <v>963</v>
      </c>
      <c r="AG2" s="31" t="s">
        <v>964</v>
      </c>
      <c r="AH2" s="31" t="s">
        <v>965</v>
      </c>
      <c r="AI2" s="31" t="s">
        <v>966</v>
      </c>
      <c r="AJ2" s="29" t="s">
        <v>967</v>
      </c>
      <c r="AK2" s="29" t="s">
        <v>968</v>
      </c>
      <c r="AL2" s="31" t="s">
        <v>969</v>
      </c>
      <c r="AM2" s="31" t="s">
        <v>970</v>
      </c>
      <c r="AN2" s="31" t="s">
        <v>971</v>
      </c>
      <c r="AO2" s="31" t="n">
        <v>563878</v>
      </c>
      <c r="AP2" s="32" t="s">
        <v>972</v>
      </c>
      <c r="AQ2" s="31" t="s">
        <v>29</v>
      </c>
      <c r="AR2" s="31" t="n">
        <v>7.67</v>
      </c>
      <c r="AS2" s="31" t="s">
        <v>973</v>
      </c>
      <c r="AT2" s="33" t="n">
        <v>1</v>
      </c>
      <c r="AU2" s="31" t="s">
        <v>974</v>
      </c>
    </row>
    <row r="3" s="31" customFormat="true" ht="11.25" hidden="false" customHeight="true" outlineLevel="0" collapsed="false">
      <c r="A3" s="9" t="s">
        <v>17</v>
      </c>
      <c r="B3" s="9" t="s">
        <v>975</v>
      </c>
      <c r="C3" s="28" t="s">
        <v>94</v>
      </c>
      <c r="D3" s="28" t="s">
        <v>976</v>
      </c>
      <c r="E3" s="9" t="s">
        <v>40</v>
      </c>
      <c r="F3" s="28" t="s">
        <v>30</v>
      </c>
      <c r="G3" s="28" t="s">
        <v>977</v>
      </c>
      <c r="H3" s="28" t="s">
        <v>978</v>
      </c>
      <c r="I3" s="28" t="s">
        <v>979</v>
      </c>
      <c r="J3" s="28" t="s">
        <v>980</v>
      </c>
      <c r="K3" s="28" t="s">
        <v>981</v>
      </c>
      <c r="L3" s="28" t="s">
        <v>982</v>
      </c>
      <c r="M3" s="28" t="n">
        <v>1</v>
      </c>
      <c r="N3" s="28" t="s">
        <v>983</v>
      </c>
      <c r="O3" s="28" t="s">
        <v>984</v>
      </c>
      <c r="P3" s="28" t="s">
        <v>985</v>
      </c>
      <c r="Q3" s="28" t="n">
        <v>2008</v>
      </c>
      <c r="R3" s="28" t="s">
        <v>986</v>
      </c>
      <c r="S3" s="28" t="s">
        <v>987</v>
      </c>
      <c r="T3" s="28" t="s">
        <v>988</v>
      </c>
      <c r="U3" s="28" t="s">
        <v>989</v>
      </c>
      <c r="V3" s="28" t="s">
        <v>990</v>
      </c>
      <c r="W3" s="28" t="s">
        <v>991</v>
      </c>
      <c r="X3" s="31" t="s">
        <v>992</v>
      </c>
      <c r="Y3" s="30" t="s">
        <v>993</v>
      </c>
      <c r="Z3" s="28" t="s">
        <v>994</v>
      </c>
      <c r="AA3" s="34" t="s">
        <v>995</v>
      </c>
      <c r="AB3" s="28" t="s">
        <v>996</v>
      </c>
      <c r="AC3" s="28" t="s">
        <v>959</v>
      </c>
      <c r="AD3" s="31" t="s">
        <v>997</v>
      </c>
      <c r="AE3" s="31" t="s">
        <v>998</v>
      </c>
      <c r="AF3" s="31" t="s">
        <v>999</v>
      </c>
      <c r="AG3" s="31" t="s">
        <v>1000</v>
      </c>
      <c r="AH3" s="31" t="s">
        <v>1001</v>
      </c>
      <c r="AI3" s="31" t="s">
        <v>1002</v>
      </c>
      <c r="AJ3" s="29" t="s">
        <v>1003</v>
      </c>
      <c r="AK3" s="29" t="s">
        <v>1004</v>
      </c>
      <c r="AL3" s="31" t="s">
        <v>1005</v>
      </c>
      <c r="AM3" s="31" t="s">
        <v>1006</v>
      </c>
      <c r="AN3" s="31" t="s">
        <v>1007</v>
      </c>
      <c r="AO3" s="31" t="n">
        <v>612486</v>
      </c>
      <c r="AP3" s="32" t="s">
        <v>1008</v>
      </c>
      <c r="AQ3" s="31" t="s">
        <v>40</v>
      </c>
      <c r="AR3" s="31" t="n">
        <v>7.33</v>
      </c>
      <c r="AS3" s="31" t="s">
        <v>1009</v>
      </c>
      <c r="AT3" s="33" t="n">
        <v>0.95</v>
      </c>
      <c r="AU3" s="31" t="s">
        <v>1010</v>
      </c>
    </row>
    <row r="4" s="31" customFormat="true" ht="11.25" hidden="false" customHeight="true" outlineLevel="0" collapsed="false">
      <c r="A4" s="9" t="s">
        <v>23</v>
      </c>
      <c r="B4" s="9" t="s">
        <v>1011</v>
      </c>
      <c r="C4" s="31" t="s">
        <v>94</v>
      </c>
      <c r="D4" s="31" t="s">
        <v>1012</v>
      </c>
      <c r="E4" s="9" t="s">
        <v>49</v>
      </c>
      <c r="F4" s="28" t="s">
        <v>30</v>
      </c>
      <c r="G4" s="28" t="s">
        <v>1013</v>
      </c>
      <c r="H4" s="28" t="s">
        <v>1014</v>
      </c>
      <c r="I4" s="28" t="s">
        <v>1015</v>
      </c>
      <c r="J4" s="28" t="s">
        <v>1016</v>
      </c>
      <c r="K4" s="28" t="s">
        <v>1017</v>
      </c>
      <c r="L4" s="28" t="s">
        <v>1018</v>
      </c>
      <c r="M4" s="28" t="n">
        <v>2</v>
      </c>
      <c r="N4" s="28" t="s">
        <v>1019</v>
      </c>
      <c r="O4" s="28" t="s">
        <v>1020</v>
      </c>
      <c r="P4" s="28" t="s">
        <v>1021</v>
      </c>
      <c r="Q4" s="28" t="n">
        <v>2009</v>
      </c>
      <c r="R4" s="28" t="s">
        <v>1022</v>
      </c>
      <c r="S4" s="28"/>
      <c r="T4" s="28" t="s">
        <v>1023</v>
      </c>
      <c r="U4" s="28" t="s">
        <v>1024</v>
      </c>
      <c r="V4" s="31" t="s">
        <v>1025</v>
      </c>
      <c r="W4" s="28" t="s">
        <v>1026</v>
      </c>
      <c r="X4" s="31" t="s">
        <v>1027</v>
      </c>
      <c r="Y4" s="34" t="s">
        <v>1028</v>
      </c>
      <c r="Z4" s="28" t="s">
        <v>1029</v>
      </c>
      <c r="AA4" s="28" t="s">
        <v>1030</v>
      </c>
      <c r="AB4" s="28" t="s">
        <v>1031</v>
      </c>
      <c r="AC4" s="30" t="s">
        <v>1032</v>
      </c>
      <c r="AD4" s="31" t="s">
        <v>1033</v>
      </c>
      <c r="AE4" s="31" t="s">
        <v>1034</v>
      </c>
      <c r="AF4" s="31" t="s">
        <v>1035</v>
      </c>
      <c r="AG4" s="31" t="s">
        <v>1036</v>
      </c>
      <c r="AH4" s="31" t="s">
        <v>1037</v>
      </c>
      <c r="AI4" s="31" t="s">
        <v>1002</v>
      </c>
      <c r="AJ4" s="29" t="s">
        <v>1003</v>
      </c>
      <c r="AK4" s="29" t="s">
        <v>1004</v>
      </c>
      <c r="AL4" s="31" t="s">
        <v>1038</v>
      </c>
      <c r="AM4" s="31" t="s">
        <v>1039</v>
      </c>
      <c r="AN4" s="31" t="s">
        <v>1040</v>
      </c>
      <c r="AO4" s="31" t="n">
        <v>567384</v>
      </c>
      <c r="AP4" s="32" t="s">
        <v>1041</v>
      </c>
      <c r="AQ4" s="31" t="s">
        <v>49</v>
      </c>
      <c r="AR4" s="31" t="n">
        <v>7</v>
      </c>
      <c r="AT4" s="33" t="n">
        <v>0.9</v>
      </c>
      <c r="AU4" s="31" t="s">
        <v>10</v>
      </c>
    </row>
    <row r="5" s="31" customFormat="true" ht="11.25" hidden="false" customHeight="true" outlineLevel="0" collapsed="false">
      <c r="A5" s="9" t="s">
        <v>1042</v>
      </c>
      <c r="B5" s="9" t="s">
        <v>1043</v>
      </c>
      <c r="C5" s="28" t="s">
        <v>94</v>
      </c>
      <c r="D5" s="28" t="s">
        <v>1044</v>
      </c>
      <c r="E5" s="9" t="s">
        <v>56</v>
      </c>
      <c r="F5" s="28" t="s">
        <v>30</v>
      </c>
      <c r="G5" s="28" t="s">
        <v>1045</v>
      </c>
      <c r="H5" s="28" t="s">
        <v>1046</v>
      </c>
      <c r="I5" s="28"/>
      <c r="J5" s="28" t="s">
        <v>1047</v>
      </c>
      <c r="K5" s="28"/>
      <c r="L5" s="28" t="s">
        <v>1048</v>
      </c>
      <c r="M5" s="28" t="n">
        <v>3</v>
      </c>
      <c r="N5" s="28" t="s">
        <v>1049</v>
      </c>
      <c r="O5" s="28" t="s">
        <v>1050</v>
      </c>
      <c r="P5" s="28"/>
      <c r="Q5" s="28" t="n">
        <v>2010</v>
      </c>
      <c r="R5" s="28" t="s">
        <v>1051</v>
      </c>
      <c r="S5" s="28"/>
      <c r="T5" s="28" t="s">
        <v>1052</v>
      </c>
      <c r="U5" s="28" t="s">
        <v>1053</v>
      </c>
      <c r="V5" s="31" t="s">
        <v>1054</v>
      </c>
      <c r="W5" s="28" t="s">
        <v>1055</v>
      </c>
      <c r="X5" s="28" t="s">
        <v>1056</v>
      </c>
      <c r="Y5" s="28" t="s">
        <v>1057</v>
      </c>
      <c r="Z5" s="28" t="s">
        <v>1058</v>
      </c>
      <c r="AA5" s="28"/>
      <c r="AB5" s="31" t="s">
        <v>1059</v>
      </c>
      <c r="AC5" s="30" t="s">
        <v>1060</v>
      </c>
      <c r="AD5" s="31" t="s">
        <v>1061</v>
      </c>
      <c r="AE5" s="31" t="s">
        <v>1062</v>
      </c>
      <c r="AF5" s="31" t="s">
        <v>1063</v>
      </c>
      <c r="AG5" s="31" t="s">
        <v>1064</v>
      </c>
      <c r="AH5" s="31" t="s">
        <v>1065</v>
      </c>
      <c r="AI5" s="31" t="s">
        <v>1066</v>
      </c>
      <c r="AJ5" s="29" t="s">
        <v>1003</v>
      </c>
      <c r="AK5" s="29" t="s">
        <v>1067</v>
      </c>
      <c r="AL5" s="31" t="s">
        <v>1068</v>
      </c>
      <c r="AM5" s="31" t="s">
        <v>1069</v>
      </c>
      <c r="AN5" s="31" t="s">
        <v>1070</v>
      </c>
      <c r="AO5" s="31" t="n">
        <v>564028</v>
      </c>
      <c r="AP5" s="32" t="s">
        <v>1071</v>
      </c>
      <c r="AQ5" s="31" t="s">
        <v>56</v>
      </c>
      <c r="AR5" s="31" t="n">
        <v>6.67</v>
      </c>
      <c r="AT5" s="33" t="n">
        <v>0.85</v>
      </c>
    </row>
    <row r="6" s="31" customFormat="true" ht="11.25" hidden="false" customHeight="true" outlineLevel="0" collapsed="false">
      <c r="A6" s="9" t="s">
        <v>22</v>
      </c>
      <c r="B6" s="9" t="s">
        <v>1072</v>
      </c>
      <c r="C6" s="28" t="s">
        <v>72</v>
      </c>
      <c r="D6" s="28" t="s">
        <v>1073</v>
      </c>
      <c r="E6" s="9" t="s">
        <v>62</v>
      </c>
      <c r="F6" s="28" t="s">
        <v>63</v>
      </c>
      <c r="G6" s="28" t="s">
        <v>235</v>
      </c>
      <c r="H6" s="28" t="s">
        <v>1074</v>
      </c>
      <c r="I6" s="28"/>
      <c r="J6" s="28" t="s">
        <v>1075</v>
      </c>
      <c r="K6" s="28"/>
      <c r="L6" s="28" t="s">
        <v>1076</v>
      </c>
      <c r="M6" s="28" t="n">
        <v>4</v>
      </c>
      <c r="N6" s="28" t="s">
        <v>1077</v>
      </c>
      <c r="O6" s="28" t="s">
        <v>1078</v>
      </c>
      <c r="P6" s="28"/>
      <c r="Q6" s="31" t="n">
        <v>2011</v>
      </c>
      <c r="R6" s="28" t="s">
        <v>1079</v>
      </c>
      <c r="S6" s="28"/>
      <c r="T6" s="28" t="s">
        <v>1080</v>
      </c>
      <c r="U6" s="31" t="s">
        <v>953</v>
      </c>
      <c r="V6" s="28" t="s">
        <v>1081</v>
      </c>
      <c r="W6" s="28" t="s">
        <v>1082</v>
      </c>
      <c r="X6" s="31" t="s">
        <v>1083</v>
      </c>
      <c r="Y6" s="31" t="s">
        <v>1084</v>
      </c>
      <c r="Z6" s="34" t="s">
        <v>1085</v>
      </c>
      <c r="AA6" s="28"/>
      <c r="AB6" s="28" t="s">
        <v>1086</v>
      </c>
      <c r="AC6" s="28"/>
      <c r="AE6" s="31" t="s">
        <v>1087</v>
      </c>
      <c r="AF6" s="31" t="s">
        <v>1088</v>
      </c>
      <c r="AG6" s="31" t="s">
        <v>1089</v>
      </c>
      <c r="AH6" s="31" t="s">
        <v>1090</v>
      </c>
      <c r="AI6" s="31" t="s">
        <v>1091</v>
      </c>
      <c r="AJ6" s="29" t="s">
        <v>1003</v>
      </c>
      <c r="AK6" s="29" t="s">
        <v>1092</v>
      </c>
      <c r="AL6" s="31" t="s">
        <v>1093</v>
      </c>
      <c r="AM6" s="31" t="s">
        <v>1094</v>
      </c>
      <c r="AN6" s="31" t="s">
        <v>1095</v>
      </c>
      <c r="AO6" s="31" t="n">
        <v>512080</v>
      </c>
      <c r="AP6" s="32" t="s">
        <v>1096</v>
      </c>
      <c r="AQ6" s="31" t="s">
        <v>62</v>
      </c>
      <c r="AR6" s="31" t="n">
        <v>6.33</v>
      </c>
      <c r="AT6" s="33" t="n">
        <v>0.8</v>
      </c>
    </row>
    <row r="7" s="31" customFormat="true" ht="11.25" hidden="false" customHeight="true" outlineLevel="0" collapsed="false">
      <c r="A7" s="9" t="s">
        <v>27</v>
      </c>
      <c r="B7" s="9" t="s">
        <v>1097</v>
      </c>
      <c r="C7" s="28" t="s">
        <v>94</v>
      </c>
      <c r="D7" s="28" t="s">
        <v>1098</v>
      </c>
      <c r="E7" s="9" t="s">
        <v>63</v>
      </c>
      <c r="F7" s="28" t="s">
        <v>63</v>
      </c>
      <c r="G7" s="28" t="s">
        <v>1099</v>
      </c>
      <c r="H7" s="28"/>
      <c r="I7" s="28"/>
      <c r="J7" s="28" t="s">
        <v>1100</v>
      </c>
      <c r="K7" s="28"/>
      <c r="L7" s="28" t="s">
        <v>1101</v>
      </c>
      <c r="M7" s="28" t="n">
        <v>5</v>
      </c>
      <c r="N7" s="28" t="s">
        <v>1102</v>
      </c>
      <c r="O7" s="28" t="s">
        <v>1103</v>
      </c>
      <c r="P7" s="28"/>
      <c r="Q7" s="31" t="n">
        <v>2012</v>
      </c>
      <c r="R7" s="28" t="s">
        <v>1104</v>
      </c>
      <c r="S7" s="28"/>
      <c r="T7" s="28" t="s">
        <v>1105</v>
      </c>
      <c r="U7" s="28"/>
      <c r="V7" s="28" t="s">
        <v>1106</v>
      </c>
      <c r="W7" s="28" t="s">
        <v>1107</v>
      </c>
      <c r="X7" s="28" t="s">
        <v>1108</v>
      </c>
      <c r="Y7" s="34" t="s">
        <v>1109</v>
      </c>
      <c r="Z7" s="28" t="s">
        <v>1110</v>
      </c>
      <c r="AA7" s="28"/>
      <c r="AB7" s="28"/>
      <c r="AC7" s="28"/>
      <c r="AE7" s="31" t="s">
        <v>1111</v>
      </c>
      <c r="AF7" s="31" t="s">
        <v>1112</v>
      </c>
      <c r="AG7" s="31" t="s">
        <v>1113</v>
      </c>
      <c r="AH7" s="31" t="s">
        <v>1114</v>
      </c>
      <c r="AI7" s="31" t="s">
        <v>1115</v>
      </c>
      <c r="AJ7" s="29" t="s">
        <v>1003</v>
      </c>
      <c r="AK7" s="29" t="s">
        <v>1116</v>
      </c>
      <c r="AL7" s="31" t="s">
        <v>1117</v>
      </c>
      <c r="AM7" s="31" t="s">
        <v>1118</v>
      </c>
      <c r="AN7" s="31" t="s">
        <v>1119</v>
      </c>
      <c r="AO7" s="31" t="n">
        <v>562225</v>
      </c>
      <c r="AP7" s="32" t="s">
        <v>1120</v>
      </c>
      <c r="AQ7" s="31" t="s">
        <v>63</v>
      </c>
      <c r="AR7" s="31" t="n">
        <v>6</v>
      </c>
      <c r="AT7" s="33" t="n">
        <v>0.75</v>
      </c>
    </row>
    <row r="8" s="31" customFormat="true" ht="11.25" hidden="false" customHeight="true" outlineLevel="0" collapsed="false">
      <c r="A8" s="9" t="s">
        <v>15</v>
      </c>
      <c r="B8" s="9" t="s">
        <v>1121</v>
      </c>
      <c r="C8" s="28" t="s">
        <v>72</v>
      </c>
      <c r="D8" s="28" t="s">
        <v>1122</v>
      </c>
      <c r="E8" s="28" t="s">
        <v>68</v>
      </c>
      <c r="F8" s="28" t="s">
        <v>63</v>
      </c>
      <c r="G8" s="28"/>
      <c r="H8" s="28"/>
      <c r="I8" s="28"/>
      <c r="J8" s="28"/>
      <c r="K8" s="28"/>
      <c r="L8" s="28" t="s">
        <v>1123</v>
      </c>
      <c r="M8" s="28" t="n">
        <v>6</v>
      </c>
      <c r="N8" s="28" t="s">
        <v>1124</v>
      </c>
      <c r="O8" s="28" t="s">
        <v>1125</v>
      </c>
      <c r="P8" s="28"/>
      <c r="Q8" s="31" t="n">
        <v>2013</v>
      </c>
      <c r="R8" s="28" t="s">
        <v>1126</v>
      </c>
      <c r="S8" s="28"/>
      <c r="T8" s="28"/>
      <c r="U8" s="28"/>
      <c r="V8" s="28" t="s">
        <v>954</v>
      </c>
      <c r="X8" s="28" t="s">
        <v>1127</v>
      </c>
      <c r="Y8" s="34" t="s">
        <v>1128</v>
      </c>
      <c r="Z8" s="28" t="s">
        <v>1129</v>
      </c>
      <c r="AA8" s="28"/>
      <c r="AB8" s="28"/>
      <c r="AC8" s="28"/>
      <c r="AE8" s="31" t="s">
        <v>1130</v>
      </c>
      <c r="AF8" s="31" t="s">
        <v>1131</v>
      </c>
      <c r="AG8" s="34" t="s">
        <v>1132</v>
      </c>
      <c r="AH8" s="31" t="s">
        <v>1133</v>
      </c>
      <c r="AI8" s="31" t="s">
        <v>1134</v>
      </c>
      <c r="AJ8" s="29" t="s">
        <v>1135</v>
      </c>
      <c r="AK8" s="29" t="s">
        <v>1134</v>
      </c>
      <c r="AL8" s="31" t="s">
        <v>1136</v>
      </c>
      <c r="AM8" s="31" t="s">
        <v>1137</v>
      </c>
      <c r="AN8" s="31" t="s">
        <v>1138</v>
      </c>
      <c r="AO8" s="31" t="n">
        <v>556185</v>
      </c>
      <c r="AP8" s="32" t="s">
        <v>1139</v>
      </c>
      <c r="AQ8" s="31" t="s">
        <v>68</v>
      </c>
      <c r="AR8" s="31" t="n">
        <v>5.67</v>
      </c>
      <c r="AT8" s="33" t="n">
        <v>0.7</v>
      </c>
    </row>
    <row r="9" s="31" customFormat="true" ht="11.25" hidden="false" customHeight="true" outlineLevel="0" collapsed="false">
      <c r="A9" s="9" t="s">
        <v>21</v>
      </c>
      <c r="B9" s="9" t="s">
        <v>39</v>
      </c>
      <c r="C9" s="28" t="s">
        <v>72</v>
      </c>
      <c r="D9" s="28" t="s">
        <v>1140</v>
      </c>
      <c r="E9" s="28" t="s">
        <v>71</v>
      </c>
      <c r="F9" s="28" t="s">
        <v>72</v>
      </c>
      <c r="G9" s="28"/>
      <c r="H9" s="28"/>
      <c r="I9" s="28"/>
      <c r="J9" s="28"/>
      <c r="K9" s="28"/>
      <c r="L9" s="28" t="s">
        <v>1141</v>
      </c>
      <c r="M9" s="28" t="n">
        <v>7</v>
      </c>
      <c r="N9" s="28" t="s">
        <v>1142</v>
      </c>
      <c r="O9" s="28" t="s">
        <v>1143</v>
      </c>
      <c r="P9" s="28"/>
      <c r="Q9" s="28" t="n">
        <v>2014</v>
      </c>
      <c r="R9" s="28" t="s">
        <v>1144</v>
      </c>
      <c r="S9" s="28"/>
      <c r="T9" s="28"/>
      <c r="V9" s="28"/>
      <c r="W9" s="28"/>
      <c r="X9" s="28" t="s">
        <v>1145</v>
      </c>
      <c r="Z9" s="28" t="s">
        <v>1146</v>
      </c>
      <c r="AA9" s="28"/>
      <c r="AB9" s="28"/>
      <c r="AC9" s="28"/>
      <c r="AE9" s="31" t="s">
        <v>1147</v>
      </c>
      <c r="AF9" s="31" t="s">
        <v>1148</v>
      </c>
      <c r="AG9" s="31" t="s">
        <v>1149</v>
      </c>
      <c r="AH9" s="31" t="s">
        <v>1150</v>
      </c>
      <c r="AI9" s="31" t="s">
        <v>1151</v>
      </c>
      <c r="AJ9" s="29" t="s">
        <v>1152</v>
      </c>
      <c r="AK9" s="29" t="s">
        <v>1151</v>
      </c>
      <c r="AL9" s="31" t="s">
        <v>1153</v>
      </c>
      <c r="AM9" s="31" t="s">
        <v>1154</v>
      </c>
      <c r="AN9" s="31" t="s">
        <v>1155</v>
      </c>
      <c r="AO9" s="31" t="n">
        <v>556171</v>
      </c>
      <c r="AP9" s="32" t="s">
        <v>1156</v>
      </c>
      <c r="AQ9" s="31" t="s">
        <v>71</v>
      </c>
      <c r="AR9" s="31" t="n">
        <v>5.33</v>
      </c>
      <c r="AT9" s="33" t="n">
        <v>0.65</v>
      </c>
    </row>
    <row r="10" s="31" customFormat="true" ht="11.25" hidden="false" customHeight="true" outlineLevel="0" collapsed="false">
      <c r="A10" s="9" t="s">
        <v>14</v>
      </c>
      <c r="B10" s="9" t="s">
        <v>31</v>
      </c>
      <c r="C10" s="28" t="s">
        <v>72</v>
      </c>
      <c r="D10" s="28" t="s">
        <v>1157</v>
      </c>
      <c r="E10" s="28" t="s">
        <v>72</v>
      </c>
      <c r="F10" s="28" t="s">
        <v>72</v>
      </c>
      <c r="G10" s="29"/>
      <c r="H10" s="28"/>
      <c r="I10" s="28"/>
      <c r="J10" s="28"/>
      <c r="K10" s="28"/>
      <c r="L10" s="28" t="s">
        <v>1158</v>
      </c>
      <c r="M10" s="28" t="n">
        <v>8</v>
      </c>
      <c r="N10" s="28" t="s">
        <v>1159</v>
      </c>
      <c r="O10" s="28" t="s">
        <v>1160</v>
      </c>
      <c r="P10" s="28"/>
      <c r="Q10" s="28" t="n">
        <v>2015</v>
      </c>
      <c r="R10" s="28" t="s">
        <v>1161</v>
      </c>
      <c r="S10" s="28"/>
      <c r="T10" s="28"/>
      <c r="V10" s="28"/>
      <c r="W10" s="28"/>
      <c r="X10" s="28"/>
      <c r="Z10" s="28"/>
      <c r="AB10" s="28"/>
      <c r="AC10" s="28"/>
      <c r="AE10" s="31" t="s">
        <v>1162</v>
      </c>
      <c r="AF10" s="31" t="s">
        <v>1163</v>
      </c>
      <c r="AG10" s="31" t="s">
        <v>1164</v>
      </c>
      <c r="AH10" s="31" t="s">
        <v>1165</v>
      </c>
      <c r="AI10" s="31" t="s">
        <v>1166</v>
      </c>
      <c r="AJ10" s="29" t="s">
        <v>1003</v>
      </c>
      <c r="AK10" s="29" t="s">
        <v>1167</v>
      </c>
      <c r="AL10" s="31" t="s">
        <v>1168</v>
      </c>
      <c r="AM10" s="31" t="s">
        <v>1169</v>
      </c>
      <c r="AN10" s="31" t="s">
        <v>1170</v>
      </c>
      <c r="AO10" s="31" t="n">
        <v>556170</v>
      </c>
      <c r="AP10" s="32" t="s">
        <v>55</v>
      </c>
      <c r="AQ10" s="31" t="s">
        <v>72</v>
      </c>
      <c r="AR10" s="31" t="n">
        <v>5</v>
      </c>
      <c r="AT10" s="33" t="n">
        <v>0.6</v>
      </c>
    </row>
    <row r="11" s="31" customFormat="true" ht="11.25" hidden="false" customHeight="true" outlineLevel="0" collapsed="false">
      <c r="A11" s="9" t="s">
        <v>18</v>
      </c>
      <c r="B11" s="9" t="s">
        <v>41</v>
      </c>
      <c r="C11" s="28" t="s">
        <v>63</v>
      </c>
      <c r="D11" s="28"/>
      <c r="E11" s="28" t="s">
        <v>78</v>
      </c>
      <c r="F11" s="28" t="s">
        <v>72</v>
      </c>
      <c r="G11" s="28"/>
      <c r="H11" s="28"/>
      <c r="I11" s="28"/>
      <c r="J11" s="28"/>
      <c r="K11" s="28"/>
      <c r="L11" s="28" t="s">
        <v>1171</v>
      </c>
      <c r="M11" s="28" t="n">
        <v>9</v>
      </c>
      <c r="N11" s="28" t="s">
        <v>1172</v>
      </c>
      <c r="O11" s="28" t="s">
        <v>1173</v>
      </c>
      <c r="P11" s="28"/>
      <c r="Q11" s="28" t="n">
        <v>2016</v>
      </c>
      <c r="R11" s="28"/>
      <c r="S11" s="28"/>
      <c r="T11" s="28"/>
      <c r="U11" s="28"/>
      <c r="V11" s="28"/>
      <c r="W11" s="28"/>
      <c r="X11" s="28"/>
      <c r="Y11" s="28"/>
      <c r="Z11" s="28"/>
      <c r="AA11" s="28"/>
      <c r="AB11" s="28"/>
      <c r="AC11" s="28"/>
      <c r="AF11" s="31" t="s">
        <v>1174</v>
      </c>
      <c r="AG11" s="31" t="s">
        <v>1175</v>
      </c>
      <c r="AH11" s="31" t="s">
        <v>1176</v>
      </c>
      <c r="AI11" s="31" t="s">
        <v>333</v>
      </c>
      <c r="AJ11" s="29" t="s">
        <v>1003</v>
      </c>
      <c r="AK11" s="29" t="s">
        <v>1177</v>
      </c>
      <c r="AL11" s="31" t="s">
        <v>333</v>
      </c>
      <c r="AM11" s="31" t="s">
        <v>1178</v>
      </c>
      <c r="AN11" s="31" t="s">
        <v>1179</v>
      </c>
      <c r="AO11" s="31" t="n">
        <v>556167</v>
      </c>
      <c r="AP11" s="32" t="s">
        <v>1180</v>
      </c>
      <c r="AQ11" s="31" t="s">
        <v>78</v>
      </c>
      <c r="AR11" s="31" t="n">
        <v>4.67</v>
      </c>
      <c r="AT11" s="33" t="n">
        <v>0.55</v>
      </c>
    </row>
    <row r="12" s="31" customFormat="true" ht="11.25" hidden="false" customHeight="true" outlineLevel="0" collapsed="false">
      <c r="A12" s="9" t="s">
        <v>16</v>
      </c>
      <c r="B12" s="9" t="s">
        <v>32</v>
      </c>
      <c r="C12" s="28" t="s">
        <v>136</v>
      </c>
      <c r="D12" s="28"/>
      <c r="E12" s="28" t="s">
        <v>93</v>
      </c>
      <c r="F12" s="28" t="s">
        <v>94</v>
      </c>
      <c r="G12" s="28"/>
      <c r="H12" s="28"/>
      <c r="I12" s="28"/>
      <c r="J12" s="28"/>
      <c r="K12" s="28"/>
      <c r="L12" s="28" t="s">
        <v>1181</v>
      </c>
      <c r="M12" s="28" t="n">
        <v>10</v>
      </c>
      <c r="N12" s="28" t="s">
        <v>1182</v>
      </c>
      <c r="O12" s="28" t="s">
        <v>1173</v>
      </c>
      <c r="P12" s="28"/>
      <c r="Q12" s="28" t="n">
        <v>2017</v>
      </c>
      <c r="R12" s="28"/>
      <c r="S12" s="28"/>
      <c r="T12" s="28"/>
      <c r="U12" s="28"/>
      <c r="V12" s="28"/>
      <c r="W12" s="28"/>
      <c r="X12" s="28"/>
      <c r="Y12" s="28"/>
      <c r="Z12" s="28"/>
      <c r="AA12" s="28"/>
      <c r="AB12" s="28"/>
      <c r="AC12" s="28"/>
      <c r="AF12" s="31" t="s">
        <v>1183</v>
      </c>
      <c r="AG12" s="31" t="s">
        <v>1184</v>
      </c>
      <c r="AH12" s="31" t="s">
        <v>1185</v>
      </c>
      <c r="AI12" s="31" t="s">
        <v>1186</v>
      </c>
      <c r="AJ12" s="29" t="s">
        <v>1187</v>
      </c>
      <c r="AK12" s="29" t="s">
        <v>1186</v>
      </c>
      <c r="AL12" s="31" t="s">
        <v>1188</v>
      </c>
      <c r="AM12" s="31" t="s">
        <v>1189</v>
      </c>
      <c r="AN12" s="31" t="s">
        <v>1190</v>
      </c>
      <c r="AO12" s="31" t="n">
        <v>556168</v>
      </c>
      <c r="AP12" s="32" t="s">
        <v>1191</v>
      </c>
      <c r="AQ12" s="31" t="s">
        <v>93</v>
      </c>
      <c r="AR12" s="31" t="n">
        <v>4.33</v>
      </c>
      <c r="AT12" s="33" t="n">
        <v>0.5</v>
      </c>
    </row>
    <row r="13" s="31" customFormat="true" ht="11.25" hidden="false" customHeight="true" outlineLevel="0" collapsed="false">
      <c r="A13" s="31" t="s">
        <v>20</v>
      </c>
      <c r="B13" s="9" t="s">
        <v>42</v>
      </c>
      <c r="C13" s="28" t="s">
        <v>72</v>
      </c>
      <c r="D13" s="28"/>
      <c r="E13" s="28" t="s">
        <v>94</v>
      </c>
      <c r="F13" s="28" t="s">
        <v>94</v>
      </c>
      <c r="G13" s="28"/>
      <c r="H13" s="28"/>
      <c r="I13" s="28"/>
      <c r="J13" s="28"/>
      <c r="K13" s="28"/>
      <c r="L13" s="28" t="s">
        <v>1192</v>
      </c>
      <c r="M13" s="28" t="n">
        <v>11</v>
      </c>
      <c r="N13" s="28" t="s">
        <v>1193</v>
      </c>
      <c r="O13" s="28" t="s">
        <v>1194</v>
      </c>
      <c r="P13" s="28"/>
      <c r="Q13" s="28" t="n">
        <v>2018</v>
      </c>
      <c r="R13" s="28"/>
      <c r="S13" s="28"/>
      <c r="T13" s="28"/>
      <c r="U13" s="28"/>
      <c r="V13" s="28"/>
      <c r="W13" s="28"/>
      <c r="X13" s="28"/>
      <c r="Y13" s="28"/>
      <c r="Z13" s="28"/>
      <c r="AA13" s="28"/>
      <c r="AB13" s="28"/>
      <c r="AC13" s="28"/>
      <c r="AF13" s="31" t="s">
        <v>1195</v>
      </c>
      <c r="AG13" s="34" t="s">
        <v>1196</v>
      </c>
      <c r="AH13" s="31" t="s">
        <v>1197</v>
      </c>
      <c r="AI13" s="31" t="s">
        <v>1198</v>
      </c>
      <c r="AJ13" s="29" t="s">
        <v>1199</v>
      </c>
      <c r="AK13" s="29" t="s">
        <v>1198</v>
      </c>
      <c r="AL13" s="31" t="s">
        <v>1188</v>
      </c>
      <c r="AM13" s="31" t="s">
        <v>1189</v>
      </c>
      <c r="AN13" s="31" t="s">
        <v>1200</v>
      </c>
      <c r="AO13" s="31" t="n">
        <v>572557</v>
      </c>
      <c r="AP13" s="32" t="s">
        <v>1201</v>
      </c>
      <c r="AQ13" s="31" t="s">
        <v>94</v>
      </c>
      <c r="AR13" s="31" t="n">
        <v>4</v>
      </c>
      <c r="AT13" s="33" t="n">
        <v>0.45</v>
      </c>
    </row>
    <row r="14" s="31" customFormat="true" ht="11.25" hidden="false" customHeight="true" outlineLevel="0" collapsed="false">
      <c r="A14" s="31" t="s">
        <v>26</v>
      </c>
      <c r="B14" s="31" t="s">
        <v>50</v>
      </c>
      <c r="C14" s="28" t="s">
        <v>94</v>
      </c>
      <c r="D14" s="28"/>
      <c r="E14" s="28" t="s">
        <v>122</v>
      </c>
      <c r="F14" s="28" t="s">
        <v>94</v>
      </c>
      <c r="G14" s="28"/>
      <c r="H14" s="28"/>
      <c r="I14" s="28"/>
      <c r="J14" s="28"/>
      <c r="K14" s="28"/>
      <c r="L14" s="28"/>
      <c r="M14" s="28" t="n">
        <v>12</v>
      </c>
      <c r="N14" s="28" t="s">
        <v>1202</v>
      </c>
      <c r="O14" s="28" t="s">
        <v>1203</v>
      </c>
      <c r="P14" s="28"/>
      <c r="Q14" s="28" t="n">
        <v>2019</v>
      </c>
      <c r="R14" s="28"/>
      <c r="S14" s="28"/>
      <c r="T14" s="28"/>
      <c r="U14" s="28"/>
      <c r="V14" s="28"/>
      <c r="W14" s="28"/>
      <c r="X14" s="28"/>
      <c r="Y14" s="28"/>
      <c r="Z14" s="28"/>
      <c r="AA14" s="28"/>
      <c r="AB14" s="28"/>
      <c r="AC14" s="28"/>
      <c r="AF14" s="31" t="s">
        <v>1204</v>
      </c>
      <c r="AG14" s="31" t="s">
        <v>1205</v>
      </c>
      <c r="AH14" s="31" t="s">
        <v>1206</v>
      </c>
      <c r="AI14" s="31" t="s">
        <v>1207</v>
      </c>
      <c r="AJ14" s="29" t="s">
        <v>1208</v>
      </c>
      <c r="AK14" s="29" t="s">
        <v>1209</v>
      </c>
      <c r="AL14" s="31" t="s">
        <v>1209</v>
      </c>
      <c r="AM14" s="31" t="s">
        <v>1210</v>
      </c>
      <c r="AN14" s="31" t="s">
        <v>1211</v>
      </c>
      <c r="AO14" s="31" t="n">
        <v>197</v>
      </c>
      <c r="AP14" s="32" t="s">
        <v>1212</v>
      </c>
      <c r="AQ14" s="31" t="s">
        <v>122</v>
      </c>
      <c r="AR14" s="31" t="n">
        <v>3.67</v>
      </c>
      <c r="AT14" s="33" t="n">
        <v>0.4</v>
      </c>
    </row>
    <row r="15" s="31" customFormat="true" ht="11.25" hidden="false" customHeight="true" outlineLevel="0" collapsed="false">
      <c r="A15" s="31" t="s">
        <v>25</v>
      </c>
      <c r="B15" s="31" t="s">
        <v>57</v>
      </c>
      <c r="C15" s="28" t="s">
        <v>94</v>
      </c>
      <c r="D15" s="28"/>
      <c r="E15" s="28" t="s">
        <v>135</v>
      </c>
      <c r="F15" s="28" t="s">
        <v>136</v>
      </c>
      <c r="G15" s="28"/>
      <c r="H15" s="28"/>
      <c r="I15" s="28"/>
      <c r="J15" s="28"/>
      <c r="K15" s="28"/>
      <c r="L15" s="28"/>
      <c r="M15" s="28" t="n">
        <v>13</v>
      </c>
      <c r="N15" s="28" t="s">
        <v>1213</v>
      </c>
      <c r="O15" s="31" t="s">
        <v>1214</v>
      </c>
      <c r="P15" s="28"/>
      <c r="Q15" s="28" t="n">
        <v>2020</v>
      </c>
      <c r="R15" s="28"/>
      <c r="S15" s="28"/>
      <c r="T15" s="28"/>
      <c r="U15" s="28"/>
      <c r="V15" s="28"/>
      <c r="W15" s="28"/>
      <c r="X15" s="28"/>
      <c r="Y15" s="28"/>
      <c r="Z15" s="28"/>
      <c r="AA15" s="28"/>
      <c r="AB15" s="28"/>
      <c r="AC15" s="28"/>
      <c r="AF15" s="31" t="s">
        <v>1215</v>
      </c>
      <c r="AG15" s="31" t="s">
        <v>1216</v>
      </c>
      <c r="AH15" s="31" t="s">
        <v>1217</v>
      </c>
      <c r="AI15" s="31" t="s">
        <v>1218</v>
      </c>
      <c r="AJ15" s="29" t="s">
        <v>1003</v>
      </c>
      <c r="AK15" s="29" t="s">
        <v>1219</v>
      </c>
      <c r="AL15" s="31" t="s">
        <v>1220</v>
      </c>
      <c r="AM15" s="31" t="s">
        <v>1221</v>
      </c>
      <c r="AN15" s="31" t="s">
        <v>1222</v>
      </c>
      <c r="AO15" s="31" t="n">
        <v>556736</v>
      </c>
      <c r="AP15" s="32" t="s">
        <v>1223</v>
      </c>
      <c r="AQ15" s="31" t="s">
        <v>135</v>
      </c>
      <c r="AR15" s="31" t="n">
        <v>3.33</v>
      </c>
      <c r="AT15" s="33" t="n">
        <v>0.35</v>
      </c>
    </row>
    <row r="16" s="31" customFormat="true" ht="11.25" hidden="false" customHeight="true" outlineLevel="0" collapsed="false">
      <c r="A16" s="31" t="s">
        <v>19</v>
      </c>
      <c r="B16" s="31" t="s">
        <v>33</v>
      </c>
      <c r="C16" s="28" t="s">
        <v>94</v>
      </c>
      <c r="D16" s="28"/>
      <c r="E16" s="28" t="s">
        <v>136</v>
      </c>
      <c r="F16" s="28" t="s">
        <v>136</v>
      </c>
      <c r="G16" s="28"/>
      <c r="H16" s="28"/>
      <c r="I16" s="28"/>
      <c r="J16" s="28"/>
      <c r="K16" s="28"/>
      <c r="L16" s="28"/>
      <c r="M16" s="28" t="n">
        <v>14</v>
      </c>
      <c r="N16" s="28" t="s">
        <v>1224</v>
      </c>
      <c r="O16" s="28" t="s">
        <v>1225</v>
      </c>
      <c r="P16" s="28"/>
      <c r="Q16" s="28" t="n">
        <v>2021</v>
      </c>
      <c r="R16" s="28"/>
      <c r="S16" s="28"/>
      <c r="T16" s="28"/>
      <c r="U16" s="28"/>
      <c r="V16" s="28"/>
      <c r="W16" s="28"/>
      <c r="X16" s="28"/>
      <c r="Y16" s="28"/>
      <c r="Z16" s="28"/>
      <c r="AA16" s="28"/>
      <c r="AB16" s="28"/>
      <c r="AC16" s="28"/>
      <c r="AF16" s="31" t="s">
        <v>1226</v>
      </c>
      <c r="AG16" s="31" t="s">
        <v>1227</v>
      </c>
      <c r="AH16" s="31" t="s">
        <v>1228</v>
      </c>
      <c r="AI16" s="31" t="s">
        <v>1229</v>
      </c>
      <c r="AJ16" s="29" t="s">
        <v>1208</v>
      </c>
      <c r="AK16" s="29" t="s">
        <v>1229</v>
      </c>
      <c r="AL16" s="31" t="s">
        <v>1230</v>
      </c>
      <c r="AM16" s="31" t="s">
        <v>1231</v>
      </c>
      <c r="AN16" s="31" t="s">
        <v>1232</v>
      </c>
      <c r="AO16" s="31" t="n">
        <v>618339</v>
      </c>
      <c r="AP16" s="32" t="s">
        <v>67</v>
      </c>
      <c r="AQ16" s="31" t="s">
        <v>136</v>
      </c>
      <c r="AR16" s="31" t="n">
        <v>3</v>
      </c>
      <c r="AT16" s="33" t="n">
        <v>0.3</v>
      </c>
    </row>
    <row r="17" s="31" customFormat="true" ht="11.25" hidden="false" customHeight="true" outlineLevel="0" collapsed="false">
      <c r="A17" s="31" t="s">
        <v>24</v>
      </c>
      <c r="B17" s="31" t="s">
        <v>43</v>
      </c>
      <c r="C17" s="28" t="s">
        <v>63</v>
      </c>
      <c r="D17" s="28"/>
      <c r="E17" s="28" t="s">
        <v>162</v>
      </c>
      <c r="F17" s="28" t="s">
        <v>136</v>
      </c>
      <c r="G17" s="28"/>
      <c r="H17" s="28"/>
      <c r="I17" s="28"/>
      <c r="J17" s="28"/>
      <c r="K17" s="28"/>
      <c r="L17" s="28"/>
      <c r="M17" s="28" t="n">
        <v>15</v>
      </c>
      <c r="N17" s="28" t="s">
        <v>1233</v>
      </c>
      <c r="O17" s="28" t="s">
        <v>1234</v>
      </c>
      <c r="P17" s="28"/>
      <c r="Q17" s="28" t="n">
        <v>2022</v>
      </c>
      <c r="R17" s="28"/>
      <c r="S17" s="28"/>
      <c r="T17" s="28"/>
      <c r="U17" s="28"/>
      <c r="V17" s="28"/>
      <c r="W17" s="28"/>
      <c r="X17" s="28"/>
      <c r="Y17" s="28"/>
      <c r="Z17" s="28"/>
      <c r="AA17" s="28"/>
      <c r="AB17" s="28"/>
      <c r="AC17" s="28"/>
      <c r="AF17" s="31" t="s">
        <v>1235</v>
      </c>
      <c r="AG17" s="31" t="s">
        <v>1236</v>
      </c>
      <c r="AH17" s="31" t="s">
        <v>1237</v>
      </c>
      <c r="AI17" s="31" t="s">
        <v>1238</v>
      </c>
      <c r="AJ17" s="29" t="s">
        <v>1239</v>
      </c>
      <c r="AK17" s="29" t="s">
        <v>1238</v>
      </c>
      <c r="AL17" s="31" t="s">
        <v>1240</v>
      </c>
      <c r="AM17" s="31" t="s">
        <v>1241</v>
      </c>
      <c r="AN17" s="31" t="s">
        <v>1242</v>
      </c>
      <c r="AO17" s="31" t="n">
        <v>410994</v>
      </c>
      <c r="AP17" s="32" t="s">
        <v>1243</v>
      </c>
      <c r="AQ17" s="31" t="s">
        <v>162</v>
      </c>
      <c r="AR17" s="31" t="n">
        <v>2.67</v>
      </c>
      <c r="AT17" s="33" t="n">
        <v>0.25</v>
      </c>
    </row>
    <row r="18" s="31" customFormat="true" ht="11.25" hidden="false" customHeight="true" outlineLevel="0" collapsed="false">
      <c r="B18" s="31" t="s">
        <v>37</v>
      </c>
      <c r="C18" s="30" t="s">
        <v>94</v>
      </c>
      <c r="D18" s="30"/>
      <c r="E18" s="35" t="s">
        <v>172</v>
      </c>
      <c r="F18" s="28" t="s">
        <v>163</v>
      </c>
      <c r="G18" s="28"/>
      <c r="H18" s="28"/>
      <c r="I18" s="28"/>
      <c r="J18" s="28"/>
      <c r="K18" s="28"/>
      <c r="L18" s="28"/>
      <c r="M18" s="28" t="n">
        <v>16</v>
      </c>
      <c r="N18" s="28" t="s">
        <v>1244</v>
      </c>
      <c r="O18" s="31" t="s">
        <v>1245</v>
      </c>
      <c r="P18" s="28"/>
      <c r="Q18" s="28" t="n">
        <v>2023</v>
      </c>
      <c r="R18" s="28"/>
      <c r="S18" s="28"/>
      <c r="T18" s="28"/>
      <c r="U18" s="28"/>
      <c r="V18" s="28"/>
      <c r="W18" s="28"/>
      <c r="X18" s="28"/>
      <c r="Y18" s="28"/>
      <c r="Z18" s="28"/>
      <c r="AA18" s="28"/>
      <c r="AB18" s="28"/>
      <c r="AC18" s="28"/>
      <c r="AF18" s="31" t="s">
        <v>1246</v>
      </c>
      <c r="AG18" s="31" t="s">
        <v>1247</v>
      </c>
      <c r="AH18" s="31" t="s">
        <v>1248</v>
      </c>
      <c r="AI18" s="31" t="s">
        <v>1249</v>
      </c>
      <c r="AJ18" s="29" t="s">
        <v>1239</v>
      </c>
      <c r="AK18" s="29" t="s">
        <v>1249</v>
      </c>
      <c r="AL18" s="31" t="s">
        <v>1240</v>
      </c>
      <c r="AM18" s="31" t="s">
        <v>1241</v>
      </c>
      <c r="AN18" s="31" t="s">
        <v>1250</v>
      </c>
      <c r="AO18" s="31" t="n">
        <v>480405</v>
      </c>
      <c r="AP18" s="32" t="s">
        <v>1251</v>
      </c>
      <c r="AQ18" s="31" t="s">
        <v>172</v>
      </c>
      <c r="AR18" s="31" t="n">
        <v>2.33</v>
      </c>
      <c r="AT18" s="33" t="n">
        <v>0.2</v>
      </c>
    </row>
    <row r="19" s="31" customFormat="true" ht="11.25" hidden="false" customHeight="true" outlineLevel="0" collapsed="false">
      <c r="A19" s="28"/>
      <c r="B19" s="28" t="s">
        <v>46</v>
      </c>
      <c r="C19" s="30" t="s">
        <v>63</v>
      </c>
      <c r="D19" s="30"/>
      <c r="E19" s="35" t="s">
        <v>182</v>
      </c>
      <c r="F19" s="28" t="s">
        <v>163</v>
      </c>
      <c r="G19" s="28"/>
      <c r="H19" s="28"/>
      <c r="I19" s="28"/>
      <c r="J19" s="28"/>
      <c r="K19" s="28"/>
      <c r="L19" s="28"/>
      <c r="M19" s="28" t="n">
        <v>17</v>
      </c>
      <c r="N19" s="28" t="s">
        <v>1252</v>
      </c>
      <c r="O19" s="28" t="s">
        <v>1253</v>
      </c>
      <c r="P19" s="28"/>
      <c r="Q19" s="28" t="n">
        <v>2024</v>
      </c>
      <c r="R19" s="28"/>
      <c r="S19" s="28"/>
      <c r="T19" s="28"/>
      <c r="U19" s="28"/>
      <c r="V19" s="28"/>
      <c r="W19" s="28"/>
      <c r="X19" s="28"/>
      <c r="Y19" s="28"/>
      <c r="Z19" s="28"/>
      <c r="AA19" s="28"/>
      <c r="AB19" s="28"/>
      <c r="AC19" s="28"/>
      <c r="AF19" s="31" t="s">
        <v>1254</v>
      </c>
      <c r="AG19" s="31" t="s">
        <v>1255</v>
      </c>
      <c r="AH19" s="31" t="s">
        <v>1256</v>
      </c>
      <c r="AI19" s="31" t="s">
        <v>1257</v>
      </c>
      <c r="AJ19" s="29" t="s">
        <v>1239</v>
      </c>
      <c r="AK19" s="29" t="s">
        <v>1257</v>
      </c>
      <c r="AL19" s="31" t="s">
        <v>1240</v>
      </c>
      <c r="AM19" s="31" t="s">
        <v>1241</v>
      </c>
      <c r="AN19" s="31" t="s">
        <v>1258</v>
      </c>
      <c r="AO19" s="31" t="n">
        <v>617903</v>
      </c>
      <c r="AQ19" s="31" t="s">
        <v>182</v>
      </c>
      <c r="AR19" s="31" t="n">
        <v>2</v>
      </c>
      <c r="AT19" s="33" t="n">
        <v>0.15</v>
      </c>
    </row>
    <row r="20" s="31" customFormat="true" ht="11.25" hidden="false" customHeight="true" outlineLevel="0" collapsed="false">
      <c r="A20" s="28"/>
      <c r="B20" s="28" t="s">
        <v>54</v>
      </c>
      <c r="C20" s="28" t="s">
        <v>49</v>
      </c>
      <c r="D20" s="28"/>
      <c r="E20" s="9" t="s">
        <v>193</v>
      </c>
      <c r="F20" s="28" t="s">
        <v>163</v>
      </c>
      <c r="G20" s="28"/>
      <c r="H20" s="28"/>
      <c r="I20" s="28"/>
      <c r="J20" s="28"/>
      <c r="K20" s="28"/>
      <c r="L20" s="28"/>
      <c r="M20" s="28" t="n">
        <v>18</v>
      </c>
      <c r="N20" s="28" t="s">
        <v>1259</v>
      </c>
      <c r="O20" s="31" t="s">
        <v>1260</v>
      </c>
      <c r="P20" s="28"/>
      <c r="Q20" s="28" t="n">
        <v>2025</v>
      </c>
      <c r="R20" s="28"/>
      <c r="S20" s="28"/>
      <c r="T20" s="28"/>
      <c r="U20" s="28"/>
      <c r="V20" s="28"/>
      <c r="W20" s="28"/>
      <c r="X20" s="28"/>
      <c r="Y20" s="28"/>
      <c r="Z20" s="28"/>
      <c r="AA20" s="28"/>
      <c r="AB20" s="28"/>
      <c r="AC20" s="28"/>
      <c r="AF20" s="31" t="s">
        <v>1261</v>
      </c>
      <c r="AG20" s="31" t="s">
        <v>1262</v>
      </c>
      <c r="AH20" s="31" t="s">
        <v>1263</v>
      </c>
      <c r="AI20" s="31" t="s">
        <v>1264</v>
      </c>
      <c r="AJ20" s="29" t="s">
        <v>1239</v>
      </c>
      <c r="AK20" s="29" t="s">
        <v>1264</v>
      </c>
      <c r="AL20" s="31" t="s">
        <v>1240</v>
      </c>
      <c r="AM20" s="31" t="s">
        <v>1241</v>
      </c>
      <c r="AN20" s="31" t="s">
        <v>1265</v>
      </c>
      <c r="AO20" s="31" t="n">
        <v>556145</v>
      </c>
      <c r="AP20" s="32"/>
      <c r="AQ20" s="31" t="s">
        <v>193</v>
      </c>
      <c r="AR20" s="31" t="n">
        <v>1.67</v>
      </c>
      <c r="AT20" s="33" t="n">
        <v>0.1</v>
      </c>
    </row>
    <row r="21" s="31" customFormat="true" ht="11.25" hidden="false" customHeight="true" outlineLevel="0" collapsed="false">
      <c r="A21" s="28"/>
      <c r="B21" s="28" t="s">
        <v>60</v>
      </c>
      <c r="C21" s="28" t="s">
        <v>63</v>
      </c>
      <c r="D21" s="28"/>
      <c r="E21" s="9" t="s">
        <v>203</v>
      </c>
      <c r="F21" s="28" t="s">
        <v>163</v>
      </c>
      <c r="G21" s="28"/>
      <c r="I21" s="28"/>
      <c r="J21" s="28"/>
      <c r="K21" s="28"/>
      <c r="L21" s="28"/>
      <c r="M21" s="28" t="n">
        <v>19</v>
      </c>
      <c r="N21" s="28" t="s">
        <v>1266</v>
      </c>
      <c r="O21" s="28" t="s">
        <v>1267</v>
      </c>
      <c r="Q21" s="28" t="n">
        <v>2026</v>
      </c>
      <c r="R21" s="28"/>
      <c r="S21" s="28"/>
      <c r="T21" s="28"/>
      <c r="U21" s="28"/>
      <c r="V21" s="28"/>
      <c r="W21" s="28"/>
      <c r="X21" s="28"/>
      <c r="Y21" s="28"/>
      <c r="Z21" s="28"/>
      <c r="AA21" s="28"/>
      <c r="AB21" s="28"/>
      <c r="AC21" s="28"/>
      <c r="AF21" s="31" t="s">
        <v>1268</v>
      </c>
      <c r="AG21" s="31" t="s">
        <v>1269</v>
      </c>
      <c r="AH21" s="31" t="s">
        <v>1270</v>
      </c>
      <c r="AI21" s="31" t="s">
        <v>1271</v>
      </c>
      <c r="AJ21" s="29" t="s">
        <v>1239</v>
      </c>
      <c r="AK21" s="29" t="s">
        <v>1271</v>
      </c>
      <c r="AL21" s="31" t="s">
        <v>1240</v>
      </c>
      <c r="AM21" s="31" t="s">
        <v>1241</v>
      </c>
      <c r="AN21" s="31" t="s">
        <v>1272</v>
      </c>
      <c r="AO21" s="31" t="n">
        <v>201</v>
      </c>
      <c r="AP21" s="32"/>
      <c r="AT21" s="33" t="n">
        <v>0.05</v>
      </c>
    </row>
    <row r="22" s="31" customFormat="true" ht="11.25" hidden="false" customHeight="true" outlineLevel="0" collapsed="false">
      <c r="A22" s="28"/>
      <c r="B22" s="28" t="s">
        <v>48</v>
      </c>
      <c r="C22" s="30" t="s">
        <v>94</v>
      </c>
      <c r="D22" s="30"/>
      <c r="E22" s="35" t="s">
        <v>213</v>
      </c>
      <c r="F22" s="28" t="s">
        <v>163</v>
      </c>
      <c r="G22" s="28"/>
      <c r="H22" s="28"/>
      <c r="I22" s="28"/>
      <c r="J22" s="28"/>
      <c r="K22" s="28"/>
      <c r="L22" s="28"/>
      <c r="M22" s="28" t="n">
        <v>20</v>
      </c>
      <c r="N22" s="28" t="s">
        <v>1273</v>
      </c>
      <c r="O22" s="31" t="s">
        <v>1274</v>
      </c>
      <c r="P22" s="28"/>
      <c r="Q22" s="28" t="n">
        <v>2027</v>
      </c>
      <c r="R22" s="28"/>
      <c r="S22" s="28"/>
      <c r="T22" s="28"/>
      <c r="U22" s="28"/>
      <c r="V22" s="28"/>
      <c r="W22" s="28"/>
      <c r="X22" s="28"/>
      <c r="Y22" s="28"/>
      <c r="Z22" s="28"/>
      <c r="AA22" s="28"/>
      <c r="AB22" s="28"/>
      <c r="AC22" s="28"/>
      <c r="AF22" s="31" t="s">
        <v>1275</v>
      </c>
      <c r="AG22" s="31" t="s">
        <v>1276</v>
      </c>
      <c r="AH22" s="31" t="s">
        <v>1277</v>
      </c>
      <c r="AI22" s="31" t="s">
        <v>1278</v>
      </c>
      <c r="AJ22" s="29" t="s">
        <v>1239</v>
      </c>
      <c r="AK22" s="29" t="s">
        <v>1278</v>
      </c>
      <c r="AL22" s="31" t="s">
        <v>1240</v>
      </c>
      <c r="AM22" s="31" t="s">
        <v>1241</v>
      </c>
      <c r="AN22" s="31" t="s">
        <v>1272</v>
      </c>
      <c r="AO22" s="31" t="n">
        <v>441898</v>
      </c>
      <c r="AP22" s="32"/>
      <c r="AT22" s="33" t="n">
        <v>0</v>
      </c>
    </row>
    <row r="23" s="31" customFormat="true" ht="11.25" hidden="false" customHeight="true" outlineLevel="0" collapsed="false">
      <c r="A23" s="28"/>
      <c r="B23" s="28" t="s">
        <v>55</v>
      </c>
      <c r="C23" s="30" t="s">
        <v>72</v>
      </c>
      <c r="D23" s="30"/>
      <c r="E23" s="35"/>
      <c r="F23" s="28"/>
      <c r="G23" s="28"/>
      <c r="H23" s="28"/>
      <c r="I23" s="28"/>
      <c r="J23" s="28"/>
      <c r="K23" s="28"/>
      <c r="L23" s="28"/>
      <c r="M23" s="28" t="n">
        <v>21</v>
      </c>
      <c r="N23" s="28" t="s">
        <v>1279</v>
      </c>
      <c r="O23" s="28" t="s">
        <v>1280</v>
      </c>
      <c r="P23" s="28"/>
      <c r="Q23" s="28" t="n">
        <v>2028</v>
      </c>
      <c r="R23" s="28"/>
      <c r="S23" s="28"/>
      <c r="T23" s="28"/>
      <c r="U23" s="28"/>
      <c r="V23" s="28"/>
      <c r="W23" s="28"/>
      <c r="X23" s="28"/>
      <c r="Y23" s="28"/>
      <c r="Z23" s="28"/>
      <c r="AA23" s="28"/>
      <c r="AB23" s="28"/>
      <c r="AC23" s="28"/>
      <c r="AF23" s="31" t="s">
        <v>1281</v>
      </c>
      <c r="AG23" s="34" t="s">
        <v>1282</v>
      </c>
      <c r="AH23" s="31" t="s">
        <v>1283</v>
      </c>
      <c r="AI23" s="31" t="s">
        <v>1284</v>
      </c>
      <c r="AJ23" s="29" t="s">
        <v>1239</v>
      </c>
      <c r="AK23" s="29" t="s">
        <v>1284</v>
      </c>
      <c r="AL23" s="31" t="s">
        <v>1240</v>
      </c>
      <c r="AM23" s="31" t="s">
        <v>1241</v>
      </c>
      <c r="AN23" s="31" t="s">
        <v>1285</v>
      </c>
      <c r="AO23" s="31" t="n">
        <v>568018</v>
      </c>
      <c r="AP23" s="32"/>
    </row>
    <row r="24" s="31" customFormat="true" ht="11.25" hidden="false" customHeight="true" outlineLevel="0" collapsed="false">
      <c r="A24" s="28"/>
      <c r="B24" s="28" t="s">
        <v>1286</v>
      </c>
      <c r="C24" s="28" t="s">
        <v>94</v>
      </c>
      <c r="D24" s="28"/>
      <c r="E24" s="9"/>
      <c r="F24" s="28"/>
      <c r="G24" s="28"/>
      <c r="H24" s="28"/>
      <c r="I24" s="28"/>
      <c r="J24" s="28"/>
      <c r="K24" s="28"/>
      <c r="L24" s="28"/>
      <c r="M24" s="28" t="n">
        <v>22</v>
      </c>
      <c r="N24" s="28" t="s">
        <v>1287</v>
      </c>
      <c r="O24" s="28" t="s">
        <v>1288</v>
      </c>
      <c r="Q24" s="28" t="n">
        <v>2029</v>
      </c>
      <c r="R24" s="28"/>
      <c r="S24" s="28"/>
      <c r="T24" s="28"/>
      <c r="U24" s="28"/>
      <c r="V24" s="28"/>
      <c r="W24" s="28"/>
      <c r="X24" s="28"/>
      <c r="Y24" s="28"/>
      <c r="Z24" s="28"/>
      <c r="AA24" s="28"/>
      <c r="AB24" s="28"/>
      <c r="AC24" s="28"/>
      <c r="AF24" s="31" t="s">
        <v>1289</v>
      </c>
      <c r="AG24" s="31" t="s">
        <v>1290</v>
      </c>
      <c r="AH24" s="31" t="s">
        <v>1291</v>
      </c>
      <c r="AI24" s="31" t="s">
        <v>1292</v>
      </c>
      <c r="AJ24" s="29" t="s">
        <v>1293</v>
      </c>
      <c r="AK24" s="29" t="s">
        <v>1292</v>
      </c>
      <c r="AL24" s="31" t="s">
        <v>1294</v>
      </c>
      <c r="AM24" s="31" t="s">
        <v>1295</v>
      </c>
      <c r="AN24" s="31" t="s">
        <v>1296</v>
      </c>
      <c r="AO24" s="31" t="n">
        <v>570017</v>
      </c>
      <c r="AP24" s="32"/>
    </row>
    <row r="25" s="31" customFormat="true" ht="11.25" hidden="false" customHeight="true" outlineLevel="0" collapsed="false">
      <c r="A25" s="28"/>
      <c r="B25" s="28" t="s">
        <v>36</v>
      </c>
      <c r="C25" s="28" t="s">
        <v>94</v>
      </c>
      <c r="D25" s="28"/>
      <c r="E25" s="9"/>
      <c r="F25" s="28"/>
      <c r="G25" s="28"/>
      <c r="H25" s="28"/>
      <c r="I25" s="28"/>
      <c r="J25" s="28"/>
      <c r="K25" s="28"/>
      <c r="L25" s="28"/>
      <c r="M25" s="28" t="n">
        <v>23</v>
      </c>
      <c r="N25" s="28" t="s">
        <v>1297</v>
      </c>
      <c r="O25" s="28" t="s">
        <v>1298</v>
      </c>
      <c r="P25" s="28"/>
      <c r="Q25" s="28" t="n">
        <v>2030</v>
      </c>
      <c r="R25" s="28"/>
      <c r="S25" s="28"/>
      <c r="T25" s="28"/>
      <c r="U25" s="28"/>
      <c r="V25" s="28"/>
      <c r="W25" s="28"/>
      <c r="X25" s="28"/>
      <c r="Y25" s="28"/>
      <c r="Z25" s="28"/>
      <c r="AA25" s="28"/>
      <c r="AB25" s="28"/>
      <c r="AC25" s="28"/>
      <c r="AF25" s="31" t="s">
        <v>1299</v>
      </c>
      <c r="AG25" s="31" t="s">
        <v>1300</v>
      </c>
      <c r="AH25" s="31" t="s">
        <v>1301</v>
      </c>
      <c r="AI25" s="31" t="s">
        <v>1302</v>
      </c>
      <c r="AJ25" s="29" t="s">
        <v>1293</v>
      </c>
      <c r="AK25" s="29" t="s">
        <v>1302</v>
      </c>
      <c r="AL25" s="31" t="s">
        <v>1294</v>
      </c>
      <c r="AM25" s="31" t="s">
        <v>1295</v>
      </c>
      <c r="AN25" s="31" t="s">
        <v>1303</v>
      </c>
      <c r="AO25" s="31" t="n">
        <v>572352</v>
      </c>
      <c r="AP25" s="32"/>
    </row>
    <row r="26" s="31" customFormat="true" ht="11.25" hidden="false" customHeight="true" outlineLevel="0" collapsed="false">
      <c r="A26" s="28"/>
      <c r="B26" s="28" t="s">
        <v>1304</v>
      </c>
      <c r="C26" s="28" t="s">
        <v>94</v>
      </c>
      <c r="D26" s="28"/>
      <c r="E26" s="9"/>
      <c r="F26" s="28"/>
      <c r="G26" s="28"/>
      <c r="H26" s="28"/>
      <c r="I26" s="28"/>
      <c r="J26" s="28"/>
      <c r="K26" s="28"/>
      <c r="L26" s="28"/>
      <c r="M26" s="28" t="n">
        <v>24</v>
      </c>
      <c r="N26" s="28" t="s">
        <v>1305</v>
      </c>
      <c r="O26" s="31" t="s">
        <v>1306</v>
      </c>
      <c r="P26" s="28"/>
      <c r="Q26" s="28" t="n">
        <v>2031</v>
      </c>
      <c r="R26" s="28"/>
      <c r="S26" s="28"/>
      <c r="T26" s="28"/>
      <c r="U26" s="28"/>
      <c r="V26" s="28"/>
      <c r="W26" s="28"/>
      <c r="X26" s="28"/>
      <c r="Y26" s="28"/>
      <c r="Z26" s="28"/>
      <c r="AA26" s="28"/>
      <c r="AB26" s="28"/>
      <c r="AC26" s="28"/>
      <c r="AF26" s="31" t="s">
        <v>1307</v>
      </c>
      <c r="AG26" s="31" t="s">
        <v>1308</v>
      </c>
      <c r="AH26" s="31" t="s">
        <v>1309</v>
      </c>
      <c r="AI26" s="31" t="s">
        <v>1310</v>
      </c>
      <c r="AJ26" s="29" t="s">
        <v>1293</v>
      </c>
      <c r="AK26" s="29" t="s">
        <v>1310</v>
      </c>
      <c r="AL26" s="31" t="s">
        <v>1294</v>
      </c>
      <c r="AM26" s="31" t="s">
        <v>1295</v>
      </c>
      <c r="AN26" s="31" t="s">
        <v>1311</v>
      </c>
      <c r="AO26" s="31" t="n">
        <v>605360</v>
      </c>
      <c r="AP26" s="32"/>
    </row>
    <row r="27" s="31" customFormat="true" ht="11.25" hidden="false" customHeight="true" outlineLevel="0" collapsed="false">
      <c r="A27" s="28"/>
      <c r="B27" s="28" t="s">
        <v>61</v>
      </c>
      <c r="C27" s="31" t="s">
        <v>63</v>
      </c>
      <c r="E27" s="9"/>
      <c r="F27" s="28"/>
      <c r="G27" s="28"/>
      <c r="H27" s="28"/>
      <c r="I27" s="28"/>
      <c r="J27" s="28"/>
      <c r="K27" s="28"/>
      <c r="L27" s="28"/>
      <c r="M27" s="28" t="n">
        <v>25</v>
      </c>
      <c r="N27" s="28" t="s">
        <v>1312</v>
      </c>
      <c r="O27" s="28" t="s">
        <v>1313</v>
      </c>
      <c r="P27" s="28"/>
      <c r="Q27" s="28" t="n">
        <v>2032</v>
      </c>
      <c r="R27" s="28"/>
      <c r="S27" s="28"/>
      <c r="T27" s="28"/>
      <c r="U27" s="28"/>
      <c r="V27" s="28"/>
      <c r="W27" s="28"/>
      <c r="X27" s="28"/>
      <c r="Y27" s="28"/>
      <c r="Z27" s="28"/>
      <c r="AA27" s="28"/>
      <c r="AB27" s="28"/>
      <c r="AC27" s="28"/>
      <c r="AF27" s="31" t="s">
        <v>1314</v>
      </c>
      <c r="AG27" s="31" t="s">
        <v>1315</v>
      </c>
      <c r="AH27" s="31" t="s">
        <v>1316</v>
      </c>
      <c r="AI27" s="31" t="s">
        <v>1317</v>
      </c>
      <c r="AJ27" s="29" t="s">
        <v>1293</v>
      </c>
      <c r="AK27" s="29" t="s">
        <v>1317</v>
      </c>
      <c r="AL27" s="31" t="s">
        <v>1294</v>
      </c>
      <c r="AM27" s="31" t="s">
        <v>1295</v>
      </c>
      <c r="AN27" s="31" t="s">
        <v>1318</v>
      </c>
      <c r="AO27" s="31" t="n">
        <v>603862</v>
      </c>
      <c r="AP27" s="32"/>
    </row>
    <row r="28" s="31" customFormat="true" ht="11.25" hidden="false" customHeight="true" outlineLevel="0" collapsed="false">
      <c r="A28" s="28"/>
      <c r="B28" s="28" t="s">
        <v>65</v>
      </c>
      <c r="C28" s="28" t="s">
        <v>72</v>
      </c>
      <c r="D28" s="28"/>
      <c r="E28" s="9"/>
      <c r="F28" s="28"/>
      <c r="G28" s="28"/>
      <c r="H28" s="28"/>
      <c r="I28" s="28"/>
      <c r="J28" s="28"/>
      <c r="K28" s="28"/>
      <c r="L28" s="28"/>
      <c r="M28" s="28" t="n">
        <v>26</v>
      </c>
      <c r="N28" s="28" t="s">
        <v>1319</v>
      </c>
      <c r="O28" s="28" t="s">
        <v>1320</v>
      </c>
      <c r="P28" s="28"/>
      <c r="Q28" s="28" t="n">
        <v>2033</v>
      </c>
      <c r="R28" s="28"/>
      <c r="S28" s="28"/>
      <c r="T28" s="28"/>
      <c r="U28" s="28"/>
      <c r="V28" s="28"/>
      <c r="W28" s="28"/>
      <c r="X28" s="28"/>
      <c r="Y28" s="28"/>
      <c r="Z28" s="28"/>
      <c r="AA28" s="28"/>
      <c r="AB28" s="28"/>
      <c r="AC28" s="28"/>
      <c r="AF28" s="31" t="s">
        <v>1321</v>
      </c>
      <c r="AG28" s="31" t="s">
        <v>1322</v>
      </c>
      <c r="AH28" s="31" t="s">
        <v>1323</v>
      </c>
      <c r="AI28" s="31" t="s">
        <v>1324</v>
      </c>
      <c r="AJ28" s="29" t="s">
        <v>1293</v>
      </c>
      <c r="AK28" s="29" t="s">
        <v>1324</v>
      </c>
      <c r="AL28" s="31" t="s">
        <v>1294</v>
      </c>
      <c r="AM28" s="31" t="s">
        <v>1295</v>
      </c>
      <c r="AN28" s="31" t="s">
        <v>1325</v>
      </c>
      <c r="AO28" s="31" t="n">
        <v>615114</v>
      </c>
      <c r="AP28" s="32"/>
    </row>
    <row r="29" s="31" customFormat="true" ht="11.25" hidden="false" customHeight="true" outlineLevel="0" collapsed="false">
      <c r="A29" s="28"/>
      <c r="B29" s="28" t="s">
        <v>34</v>
      </c>
      <c r="C29" s="28" t="s">
        <v>94</v>
      </c>
      <c r="D29" s="28"/>
      <c r="E29" s="9"/>
      <c r="F29" s="28"/>
      <c r="G29" s="28"/>
      <c r="H29" s="28"/>
      <c r="I29" s="28"/>
      <c r="J29" s="28"/>
      <c r="K29" s="28"/>
      <c r="L29" s="28"/>
      <c r="M29" s="28" t="n">
        <v>27</v>
      </c>
      <c r="N29" s="28" t="s">
        <v>1326</v>
      </c>
      <c r="O29" s="28" t="s">
        <v>1327</v>
      </c>
      <c r="P29" s="28"/>
      <c r="Q29" s="28" t="n">
        <v>2034</v>
      </c>
      <c r="R29" s="28"/>
      <c r="S29" s="28"/>
      <c r="T29" s="28"/>
      <c r="U29" s="28"/>
      <c r="V29" s="28"/>
      <c r="W29" s="28"/>
      <c r="X29" s="28"/>
      <c r="Y29" s="28"/>
      <c r="Z29" s="28"/>
      <c r="AA29" s="28"/>
      <c r="AB29" s="28"/>
      <c r="AC29" s="28"/>
      <c r="AF29" s="31" t="s">
        <v>1328</v>
      </c>
      <c r="AG29" s="31" t="s">
        <v>1329</v>
      </c>
      <c r="AH29" s="31" t="s">
        <v>1330</v>
      </c>
      <c r="AI29" s="31" t="s">
        <v>1331</v>
      </c>
      <c r="AJ29" s="29" t="s">
        <v>1293</v>
      </c>
      <c r="AK29" s="29" t="s">
        <v>1331</v>
      </c>
      <c r="AL29" s="31" t="s">
        <v>1294</v>
      </c>
      <c r="AM29" s="31" t="s">
        <v>1295</v>
      </c>
      <c r="AN29" s="31" t="s">
        <v>1332</v>
      </c>
      <c r="AO29" s="31" t="n">
        <v>570035</v>
      </c>
      <c r="AP29" s="32"/>
    </row>
    <row r="30" s="31" customFormat="true" ht="11.25" hidden="false" customHeight="true" outlineLevel="0" collapsed="false">
      <c r="A30" s="28"/>
      <c r="B30" s="28" t="s">
        <v>44</v>
      </c>
      <c r="C30" s="28" t="s">
        <v>136</v>
      </c>
      <c r="D30" s="28"/>
      <c r="E30" s="9"/>
      <c r="F30" s="28"/>
      <c r="G30" s="28"/>
      <c r="H30" s="28"/>
      <c r="I30" s="28"/>
      <c r="J30" s="28"/>
      <c r="K30" s="28"/>
      <c r="L30" s="28"/>
      <c r="M30" s="28" t="n">
        <v>28</v>
      </c>
      <c r="N30" s="28" t="s">
        <v>1333</v>
      </c>
      <c r="O30" s="28" t="s">
        <v>1334</v>
      </c>
      <c r="P30" s="28"/>
      <c r="Q30" s="28" t="n">
        <v>2035</v>
      </c>
      <c r="R30" s="28"/>
      <c r="S30" s="28"/>
      <c r="T30" s="28"/>
      <c r="U30" s="28"/>
      <c r="V30" s="28"/>
      <c r="W30" s="28"/>
      <c r="X30" s="28"/>
      <c r="Y30" s="28"/>
      <c r="Z30" s="28"/>
      <c r="AA30" s="28"/>
      <c r="AB30" s="28"/>
      <c r="AC30" s="28"/>
      <c r="AF30" s="31" t="s">
        <v>1335</v>
      </c>
      <c r="AG30" s="31" t="s">
        <v>1336</v>
      </c>
      <c r="AH30" s="31" t="s">
        <v>1337</v>
      </c>
      <c r="AI30" s="31" t="s">
        <v>1338</v>
      </c>
      <c r="AJ30" s="29" t="s">
        <v>1293</v>
      </c>
      <c r="AK30" s="29" t="s">
        <v>1338</v>
      </c>
      <c r="AL30" s="31" t="s">
        <v>1294</v>
      </c>
      <c r="AM30" s="31" t="s">
        <v>1295</v>
      </c>
      <c r="AN30" s="31" t="s">
        <v>1339</v>
      </c>
      <c r="AO30" s="31" t="n">
        <v>570034</v>
      </c>
      <c r="AP30" s="32"/>
    </row>
    <row r="31" s="31" customFormat="true" ht="11.25" hidden="false" customHeight="true" outlineLevel="0" collapsed="false">
      <c r="A31" s="28"/>
      <c r="B31" s="28" t="s">
        <v>52</v>
      </c>
      <c r="C31" s="28" t="s">
        <v>94</v>
      </c>
      <c r="D31" s="28"/>
      <c r="E31" s="9"/>
      <c r="F31" s="28"/>
      <c r="G31" s="28"/>
      <c r="H31" s="28"/>
      <c r="I31" s="28"/>
      <c r="J31" s="28"/>
      <c r="K31" s="28"/>
      <c r="L31" s="28"/>
      <c r="M31" s="28" t="n">
        <v>29</v>
      </c>
      <c r="N31" s="28" t="s">
        <v>1340</v>
      </c>
      <c r="O31" s="28"/>
      <c r="P31" s="28"/>
      <c r="Q31" s="28" t="n">
        <v>2036</v>
      </c>
      <c r="R31" s="28"/>
      <c r="S31" s="28"/>
      <c r="T31" s="28"/>
      <c r="U31" s="28"/>
      <c r="V31" s="28"/>
      <c r="W31" s="28"/>
      <c r="X31" s="28"/>
      <c r="Y31" s="28"/>
      <c r="Z31" s="28"/>
      <c r="AA31" s="28"/>
      <c r="AB31" s="28"/>
      <c r="AC31" s="28"/>
      <c r="AF31" s="31" t="s">
        <v>1341</v>
      </c>
      <c r="AG31" s="34" t="s">
        <v>1342</v>
      </c>
      <c r="AH31" s="31" t="s">
        <v>1343</v>
      </c>
      <c r="AI31" s="31" t="s">
        <v>1344</v>
      </c>
      <c r="AJ31" s="29" t="s">
        <v>1003</v>
      </c>
      <c r="AK31" s="29" t="s">
        <v>1345</v>
      </c>
      <c r="AL31" s="31" t="s">
        <v>1346</v>
      </c>
      <c r="AM31" s="31" t="s">
        <v>1347</v>
      </c>
      <c r="AN31" s="31" t="s">
        <v>1348</v>
      </c>
      <c r="AO31" s="31" t="n">
        <v>572912</v>
      </c>
      <c r="AP31" s="32"/>
    </row>
    <row r="32" s="31" customFormat="true" ht="11.25" hidden="false" customHeight="true" outlineLevel="0" collapsed="false">
      <c r="A32" s="28"/>
      <c r="B32" s="28" t="s">
        <v>58</v>
      </c>
      <c r="C32" s="28" t="s">
        <v>63</v>
      </c>
      <c r="D32" s="9"/>
      <c r="E32" s="9"/>
      <c r="F32" s="28"/>
      <c r="G32" s="28"/>
      <c r="H32" s="28"/>
      <c r="I32" s="28"/>
      <c r="J32" s="28"/>
      <c r="K32" s="28"/>
      <c r="L32" s="28"/>
      <c r="M32" s="28" t="n">
        <v>30</v>
      </c>
      <c r="N32" s="28" t="s">
        <v>1349</v>
      </c>
      <c r="O32" s="28"/>
      <c r="P32" s="28"/>
      <c r="Q32" s="28" t="n">
        <v>2037</v>
      </c>
      <c r="R32" s="28"/>
      <c r="S32" s="28"/>
      <c r="T32" s="28"/>
      <c r="U32" s="28"/>
      <c r="V32" s="28"/>
      <c r="W32" s="28"/>
      <c r="X32" s="28"/>
      <c r="Y32" s="28"/>
      <c r="Z32" s="28"/>
      <c r="AA32" s="28"/>
      <c r="AB32" s="28"/>
      <c r="AC32" s="28"/>
      <c r="AF32" s="31" t="s">
        <v>1350</v>
      </c>
      <c r="AG32" s="31" t="s">
        <v>1351</v>
      </c>
      <c r="AH32" s="31" t="s">
        <v>1352</v>
      </c>
      <c r="AI32" s="31" t="s">
        <v>1353</v>
      </c>
      <c r="AJ32" s="29" t="s">
        <v>1003</v>
      </c>
      <c r="AK32" s="29" t="s">
        <v>1354</v>
      </c>
      <c r="AL32" s="31" t="s">
        <v>1355</v>
      </c>
      <c r="AM32" s="31" t="s">
        <v>1356</v>
      </c>
      <c r="AN32" s="31" t="s">
        <v>1357</v>
      </c>
      <c r="AO32" s="31" t="n">
        <v>570036</v>
      </c>
      <c r="AP32" s="32"/>
    </row>
    <row r="33" s="31" customFormat="true" ht="11.25" hidden="false" customHeight="true" outlineLevel="0" collapsed="false">
      <c r="A33" s="28"/>
      <c r="B33" s="28" t="s">
        <v>38</v>
      </c>
      <c r="C33" s="28" t="s">
        <v>94</v>
      </c>
      <c r="D33" s="9"/>
      <c r="E33" s="9"/>
      <c r="F33" s="28"/>
      <c r="G33" s="28"/>
      <c r="H33" s="28"/>
      <c r="I33" s="28"/>
      <c r="J33" s="28"/>
      <c r="K33" s="28"/>
      <c r="L33" s="28"/>
      <c r="M33" s="28" t="n">
        <v>31</v>
      </c>
      <c r="N33" s="28" t="s">
        <v>1358</v>
      </c>
      <c r="O33" s="28"/>
      <c r="P33" s="28"/>
      <c r="Q33" s="28" t="n">
        <v>2038</v>
      </c>
      <c r="R33" s="28"/>
      <c r="S33" s="28"/>
      <c r="T33" s="28"/>
      <c r="U33" s="28"/>
      <c r="V33" s="28"/>
      <c r="W33" s="28"/>
      <c r="X33" s="28"/>
      <c r="Y33" s="28"/>
      <c r="Z33" s="28"/>
      <c r="AA33" s="28"/>
      <c r="AB33" s="28"/>
      <c r="AC33" s="28"/>
      <c r="AF33" s="31" t="s">
        <v>1359</v>
      </c>
      <c r="AG33" s="31" t="s">
        <v>1360</v>
      </c>
      <c r="AH33" s="31" t="s">
        <v>1361</v>
      </c>
      <c r="AI33" s="31" t="s">
        <v>1362</v>
      </c>
      <c r="AJ33" s="29" t="s">
        <v>1003</v>
      </c>
      <c r="AK33" s="29" t="s">
        <v>1363</v>
      </c>
      <c r="AL33" s="31" t="s">
        <v>1364</v>
      </c>
      <c r="AM33" s="31" t="s">
        <v>1365</v>
      </c>
      <c r="AN33" s="31" t="s">
        <v>1366</v>
      </c>
      <c r="AO33" s="31" t="n">
        <v>569363</v>
      </c>
      <c r="AP33" s="32"/>
    </row>
    <row r="34" s="31" customFormat="true" ht="11.25" hidden="false" customHeight="true" outlineLevel="0" collapsed="false">
      <c r="A34" s="28"/>
      <c r="B34" s="28" t="s">
        <v>47</v>
      </c>
      <c r="C34" s="28" t="s">
        <v>72</v>
      </c>
      <c r="D34" s="9"/>
      <c r="E34" s="9"/>
      <c r="F34" s="28"/>
      <c r="G34" s="28"/>
      <c r="H34" s="28"/>
      <c r="I34" s="28"/>
      <c r="J34" s="28"/>
      <c r="K34" s="28"/>
      <c r="L34" s="28"/>
      <c r="M34" s="28"/>
      <c r="N34" s="28" t="s">
        <v>1367</v>
      </c>
      <c r="O34" s="28"/>
      <c r="P34" s="28"/>
      <c r="Q34" s="28" t="n">
        <v>2039</v>
      </c>
      <c r="R34" s="28"/>
      <c r="S34" s="28"/>
      <c r="T34" s="28"/>
      <c r="U34" s="28"/>
      <c r="V34" s="28"/>
      <c r="W34" s="28"/>
      <c r="X34" s="28"/>
      <c r="Y34" s="28"/>
      <c r="Z34" s="28"/>
      <c r="AA34" s="28"/>
      <c r="AB34" s="28"/>
      <c r="AC34" s="28"/>
      <c r="AF34" s="31" t="s">
        <v>1368</v>
      </c>
      <c r="AG34" s="31" t="s">
        <v>1369</v>
      </c>
      <c r="AH34" s="31" t="s">
        <v>1370</v>
      </c>
      <c r="AI34" s="31" t="s">
        <v>1371</v>
      </c>
      <c r="AJ34" s="29" t="s">
        <v>1372</v>
      </c>
      <c r="AK34" s="29" t="s">
        <v>1371</v>
      </c>
      <c r="AL34" s="31" t="s">
        <v>1373</v>
      </c>
      <c r="AM34" s="31" t="s">
        <v>1374</v>
      </c>
      <c r="AN34" s="31" t="s">
        <v>1375</v>
      </c>
      <c r="AO34" s="31" t="n">
        <v>607859</v>
      </c>
      <c r="AP34" s="32"/>
    </row>
    <row r="35" s="31" customFormat="true" ht="11.25" hidden="false" customHeight="true" outlineLevel="0" collapsed="false">
      <c r="A35" s="28"/>
      <c r="B35" s="28" t="s">
        <v>1376</v>
      </c>
      <c r="C35" s="28" t="s">
        <v>72</v>
      </c>
      <c r="D35" s="9"/>
      <c r="E35" s="9"/>
      <c r="F35" s="28"/>
      <c r="G35" s="28"/>
      <c r="H35" s="28"/>
      <c r="I35" s="28"/>
      <c r="J35" s="28"/>
      <c r="K35" s="28"/>
      <c r="L35" s="28"/>
      <c r="M35" s="28"/>
      <c r="N35" s="28" t="s">
        <v>1377</v>
      </c>
      <c r="O35" s="28"/>
      <c r="P35" s="28"/>
      <c r="Q35" s="28" t="n">
        <v>2040</v>
      </c>
      <c r="R35" s="28"/>
      <c r="S35" s="28"/>
      <c r="T35" s="28"/>
      <c r="U35" s="28"/>
      <c r="V35" s="28"/>
      <c r="W35" s="28"/>
      <c r="X35" s="28"/>
      <c r="Y35" s="28"/>
      <c r="Z35" s="28"/>
      <c r="AA35" s="28"/>
      <c r="AB35" s="28"/>
      <c r="AC35" s="28"/>
      <c r="AF35" s="31" t="s">
        <v>1378</v>
      </c>
      <c r="AG35" s="31" t="s">
        <v>1379</v>
      </c>
      <c r="AH35" s="31" t="s">
        <v>1380</v>
      </c>
      <c r="AI35" s="31" t="s">
        <v>1381</v>
      </c>
      <c r="AJ35" s="29" t="s">
        <v>1003</v>
      </c>
      <c r="AK35" s="29" t="s">
        <v>1382</v>
      </c>
      <c r="AL35" s="31" t="s">
        <v>1381</v>
      </c>
      <c r="AM35" s="31" t="s">
        <v>1383</v>
      </c>
      <c r="AN35" s="31" t="s">
        <v>1384</v>
      </c>
      <c r="AO35" s="31" t="n">
        <v>614585</v>
      </c>
      <c r="AP35" s="32"/>
    </row>
    <row r="36" s="31" customFormat="true" ht="11.25" hidden="false" customHeight="true" outlineLevel="0" collapsed="false">
      <c r="A36" s="28"/>
      <c r="B36" s="28" t="s">
        <v>67</v>
      </c>
      <c r="C36" s="28" t="s">
        <v>63</v>
      </c>
      <c r="D36" s="9"/>
      <c r="E36" s="28"/>
      <c r="F36" s="28"/>
      <c r="G36" s="28"/>
      <c r="H36" s="28"/>
      <c r="I36" s="28"/>
      <c r="J36" s="28"/>
      <c r="K36" s="28"/>
      <c r="L36" s="28"/>
      <c r="M36" s="28"/>
      <c r="N36" s="28" t="s">
        <v>1385</v>
      </c>
      <c r="O36" s="28"/>
      <c r="S36" s="28"/>
      <c r="T36" s="28"/>
      <c r="U36" s="28"/>
      <c r="V36" s="28"/>
      <c r="W36" s="28"/>
      <c r="X36" s="28"/>
      <c r="Y36" s="28"/>
      <c r="Z36" s="28"/>
      <c r="AA36" s="28"/>
      <c r="AB36" s="28"/>
      <c r="AC36" s="28"/>
      <c r="AF36" s="31" t="s">
        <v>1386</v>
      </c>
      <c r="AG36" s="31" t="s">
        <v>1387</v>
      </c>
      <c r="AH36" s="31" t="s">
        <v>1388</v>
      </c>
      <c r="AI36" s="31" t="s">
        <v>1389</v>
      </c>
      <c r="AJ36" s="29" t="s">
        <v>1208</v>
      </c>
      <c r="AK36" s="29" t="s">
        <v>1390</v>
      </c>
      <c r="AL36" s="31" t="s">
        <v>1105</v>
      </c>
      <c r="AM36" s="31" t="s">
        <v>1391</v>
      </c>
      <c r="AN36" s="31" t="s">
        <v>1392</v>
      </c>
      <c r="AO36" s="31" t="n">
        <v>556585</v>
      </c>
      <c r="AP36" s="32"/>
    </row>
    <row r="37" s="31" customFormat="true" ht="11.25" hidden="false" customHeight="true" outlineLevel="0" collapsed="false">
      <c r="A37" s="28"/>
      <c r="B37" s="28" t="s">
        <v>70</v>
      </c>
      <c r="C37" s="28" t="s">
        <v>136</v>
      </c>
      <c r="D37" s="9"/>
      <c r="E37" s="28"/>
      <c r="F37" s="28"/>
      <c r="G37" s="28"/>
      <c r="H37" s="28"/>
      <c r="I37" s="28"/>
      <c r="J37" s="28"/>
      <c r="K37" s="28"/>
      <c r="N37" s="31" t="s">
        <v>1393</v>
      </c>
      <c r="S37" s="28"/>
      <c r="T37" s="28"/>
      <c r="U37" s="28"/>
      <c r="V37" s="28"/>
      <c r="W37" s="28"/>
      <c r="X37" s="28"/>
      <c r="Y37" s="28"/>
      <c r="Z37" s="28"/>
      <c r="AA37" s="28"/>
      <c r="AB37" s="28"/>
      <c r="AC37" s="28"/>
      <c r="AF37" s="31" t="s">
        <v>1394</v>
      </c>
      <c r="AG37" s="31" t="s">
        <v>1395</v>
      </c>
      <c r="AH37" s="31" t="s">
        <v>1396</v>
      </c>
      <c r="AI37" s="31" t="s">
        <v>1397</v>
      </c>
      <c r="AJ37" s="29" t="s">
        <v>1003</v>
      </c>
      <c r="AK37" s="29" t="s">
        <v>1398</v>
      </c>
      <c r="AL37" s="31" t="s">
        <v>76</v>
      </c>
      <c r="AM37" s="31" t="s">
        <v>1399</v>
      </c>
      <c r="AN37" s="31" t="s">
        <v>1400</v>
      </c>
      <c r="AO37" s="31" t="n">
        <v>584379</v>
      </c>
      <c r="AP37" s="32"/>
    </row>
    <row r="38" s="31" customFormat="true" ht="11.25" hidden="false" customHeight="true" outlineLevel="0" collapsed="false">
      <c r="A38" s="28"/>
      <c r="B38" s="28" t="s">
        <v>74</v>
      </c>
      <c r="C38" s="28" t="s">
        <v>63</v>
      </c>
      <c r="D38" s="9"/>
      <c r="E38" s="28"/>
      <c r="F38" s="28"/>
      <c r="G38" s="28"/>
      <c r="H38" s="28"/>
      <c r="I38" s="28"/>
      <c r="J38" s="28"/>
      <c r="K38" s="28"/>
      <c r="N38" s="31" t="s">
        <v>1401</v>
      </c>
      <c r="S38" s="28"/>
      <c r="T38" s="28"/>
      <c r="U38" s="28"/>
      <c r="V38" s="28"/>
      <c r="W38" s="28"/>
      <c r="X38" s="28"/>
      <c r="Y38" s="28"/>
      <c r="Z38" s="28"/>
      <c r="AA38" s="28"/>
      <c r="AB38" s="28"/>
      <c r="AC38" s="28"/>
      <c r="AF38" s="31" t="s">
        <v>1402</v>
      </c>
      <c r="AG38" s="31" t="s">
        <v>1403</v>
      </c>
      <c r="AH38" s="31" t="s">
        <v>1404</v>
      </c>
      <c r="AI38" s="31" t="s">
        <v>1405</v>
      </c>
      <c r="AJ38" s="29" t="s">
        <v>1406</v>
      </c>
      <c r="AK38" s="29" t="s">
        <v>1405</v>
      </c>
      <c r="AL38" s="31" t="s">
        <v>1407</v>
      </c>
      <c r="AM38" s="31" t="s">
        <v>1408</v>
      </c>
      <c r="AN38" s="31" t="s">
        <v>1409</v>
      </c>
      <c r="AO38" s="31" t="n">
        <v>564276</v>
      </c>
      <c r="AP38" s="32"/>
    </row>
    <row r="39" s="31" customFormat="true" ht="11.25" hidden="false" customHeight="true" outlineLevel="0" collapsed="false">
      <c r="A39" s="28"/>
      <c r="B39" s="28" t="s">
        <v>77</v>
      </c>
      <c r="C39" s="28" t="s">
        <v>72</v>
      </c>
      <c r="D39" s="9"/>
      <c r="E39" s="28"/>
      <c r="F39" s="28"/>
      <c r="G39" s="28"/>
      <c r="H39" s="28"/>
      <c r="I39" s="28"/>
      <c r="J39" s="28"/>
      <c r="K39" s="28"/>
      <c r="N39" s="31" t="s">
        <v>1410</v>
      </c>
      <c r="S39" s="28"/>
      <c r="T39" s="28"/>
      <c r="U39" s="28"/>
      <c r="V39" s="28"/>
      <c r="W39" s="28"/>
      <c r="X39" s="28"/>
      <c r="Y39" s="28"/>
      <c r="Z39" s="28"/>
      <c r="AA39" s="28"/>
      <c r="AB39" s="28"/>
      <c r="AC39" s="28"/>
      <c r="AF39" s="31" t="s">
        <v>1411</v>
      </c>
      <c r="AG39" s="31" t="s">
        <v>1412</v>
      </c>
      <c r="AH39" s="31" t="s">
        <v>1413</v>
      </c>
      <c r="AI39" s="31" t="s">
        <v>1414</v>
      </c>
      <c r="AJ39" s="29" t="s">
        <v>1406</v>
      </c>
      <c r="AK39" s="29" t="s">
        <v>1414</v>
      </c>
      <c r="AL39" s="31" t="s">
        <v>1407</v>
      </c>
      <c r="AM39" s="31" t="s">
        <v>1408</v>
      </c>
      <c r="AN39" s="31" t="s">
        <v>1415</v>
      </c>
      <c r="AO39" s="31" t="n">
        <v>564287</v>
      </c>
      <c r="AP39" s="32"/>
    </row>
    <row r="40" s="37" customFormat="true" ht="11.25" hidden="false" customHeight="true" outlineLevel="0" collapsed="false">
      <c r="A40" s="36"/>
      <c r="B40" s="36" t="s">
        <v>92</v>
      </c>
      <c r="C40" s="28" t="s">
        <v>63</v>
      </c>
      <c r="D40" s="9"/>
      <c r="E40" s="28"/>
      <c r="F40" s="36"/>
      <c r="G40" s="36"/>
      <c r="H40" s="36"/>
      <c r="I40" s="36"/>
      <c r="J40" s="36"/>
      <c r="K40" s="36"/>
      <c r="N40" s="37" t="s">
        <v>1416</v>
      </c>
      <c r="O40" s="31"/>
      <c r="P40" s="31"/>
      <c r="S40" s="36"/>
      <c r="T40" s="36"/>
      <c r="U40" s="36"/>
      <c r="V40" s="36"/>
      <c r="W40" s="36"/>
      <c r="X40" s="36"/>
      <c r="Y40" s="36"/>
      <c r="Z40" s="36"/>
      <c r="AA40" s="36"/>
      <c r="AB40" s="36"/>
      <c r="AC40" s="36"/>
      <c r="AF40" s="37" t="s">
        <v>1417</v>
      </c>
      <c r="AG40" s="31" t="s">
        <v>1418</v>
      </c>
      <c r="AH40" s="31" t="s">
        <v>1419</v>
      </c>
      <c r="AI40" s="29" t="s">
        <v>1420</v>
      </c>
      <c r="AJ40" s="29" t="s">
        <v>1406</v>
      </c>
      <c r="AK40" s="29" t="s">
        <v>1420</v>
      </c>
      <c r="AL40" s="29" t="s">
        <v>1407</v>
      </c>
      <c r="AM40" s="31" t="s">
        <v>1408</v>
      </c>
      <c r="AN40" s="31" t="s">
        <v>1421</v>
      </c>
      <c r="AO40" s="31" t="n">
        <v>556339</v>
      </c>
      <c r="AP40" s="32"/>
      <c r="BA40" s="31"/>
      <c r="BB40" s="31"/>
      <c r="BQ40" s="31"/>
      <c r="BR40" s="31"/>
      <c r="BZ40" s="31"/>
      <c r="CA40" s="31"/>
      <c r="CB40" s="31"/>
      <c r="CC40" s="31"/>
    </row>
    <row r="41" s="37" customFormat="true" ht="11.25" hidden="false" customHeight="true" outlineLevel="0" collapsed="false">
      <c r="A41" s="36"/>
      <c r="B41" s="36" t="s">
        <v>108</v>
      </c>
      <c r="C41" s="28" t="s">
        <v>136</v>
      </c>
      <c r="D41" s="9"/>
      <c r="E41" s="28"/>
      <c r="F41" s="36"/>
      <c r="G41" s="36"/>
      <c r="H41" s="36"/>
      <c r="I41" s="36"/>
      <c r="J41" s="36"/>
      <c r="K41" s="36"/>
      <c r="S41" s="36"/>
      <c r="T41" s="36"/>
      <c r="U41" s="36"/>
      <c r="V41" s="36"/>
      <c r="W41" s="36"/>
      <c r="X41" s="36"/>
      <c r="Y41" s="36"/>
      <c r="Z41" s="36"/>
      <c r="AA41" s="36"/>
      <c r="AB41" s="36"/>
      <c r="AC41" s="36"/>
      <c r="AF41" s="37" t="s">
        <v>1422</v>
      </c>
      <c r="AG41" s="31" t="s">
        <v>1423</v>
      </c>
      <c r="AH41" s="31" t="s">
        <v>1424</v>
      </c>
      <c r="AI41" s="29" t="s">
        <v>1425</v>
      </c>
      <c r="AJ41" s="29" t="s">
        <v>1406</v>
      </c>
      <c r="AK41" s="29" t="s">
        <v>1425</v>
      </c>
      <c r="AL41" s="29" t="s">
        <v>1407</v>
      </c>
      <c r="AM41" s="31" t="s">
        <v>1408</v>
      </c>
      <c r="AN41" s="29" t="s">
        <v>1426</v>
      </c>
      <c r="AO41" s="31" t="n">
        <v>575674</v>
      </c>
      <c r="AP41" s="32"/>
      <c r="BA41" s="31"/>
      <c r="BB41" s="31"/>
      <c r="BQ41" s="31"/>
      <c r="BR41" s="31"/>
      <c r="BZ41" s="31"/>
      <c r="CA41" s="31"/>
      <c r="CB41" s="31"/>
      <c r="CC41" s="31"/>
    </row>
    <row r="42" s="37" customFormat="true" ht="11.25" hidden="false" customHeight="true" outlineLevel="0" collapsed="false">
      <c r="A42" s="36"/>
      <c r="B42" s="36" t="s">
        <v>35</v>
      </c>
      <c r="C42" s="28" t="s">
        <v>94</v>
      </c>
      <c r="D42" s="9"/>
      <c r="E42" s="28"/>
      <c r="F42" s="36"/>
      <c r="G42" s="36"/>
      <c r="H42" s="36"/>
      <c r="I42" s="36"/>
      <c r="J42" s="36"/>
      <c r="K42" s="36"/>
      <c r="L42" s="36"/>
      <c r="M42" s="36"/>
      <c r="N42" s="36"/>
      <c r="O42" s="28"/>
      <c r="P42" s="31"/>
      <c r="S42" s="36"/>
      <c r="T42" s="36"/>
      <c r="U42" s="36"/>
      <c r="V42" s="36"/>
      <c r="W42" s="36"/>
      <c r="X42" s="36"/>
      <c r="Y42" s="36"/>
      <c r="Z42" s="36"/>
      <c r="AA42" s="36"/>
      <c r="AB42" s="36"/>
      <c r="AC42" s="36"/>
      <c r="AF42" s="37" t="s">
        <v>1427</v>
      </c>
      <c r="AG42" s="31" t="s">
        <v>1428</v>
      </c>
      <c r="AH42" s="31" t="s">
        <v>1429</v>
      </c>
      <c r="AI42" s="29" t="s">
        <v>1430</v>
      </c>
      <c r="AJ42" s="29" t="s">
        <v>1406</v>
      </c>
      <c r="AK42" s="29" t="s">
        <v>1430</v>
      </c>
      <c r="AL42" s="29" t="s">
        <v>1407</v>
      </c>
      <c r="AM42" s="31" t="s">
        <v>1408</v>
      </c>
      <c r="AN42" s="29" t="s">
        <v>1431</v>
      </c>
      <c r="AO42" s="31" t="n">
        <v>564639</v>
      </c>
      <c r="AP42" s="32"/>
      <c r="BA42" s="31"/>
      <c r="BB42" s="31"/>
      <c r="BQ42" s="31"/>
      <c r="BR42" s="31"/>
      <c r="BZ42" s="31"/>
      <c r="CA42" s="31"/>
      <c r="CB42" s="31"/>
      <c r="CC42" s="31"/>
    </row>
    <row r="43" customFormat="false" ht="15" hidden="false" customHeight="false" outlineLevel="0" collapsed="false">
      <c r="B43" s="22" t="s">
        <v>35</v>
      </c>
      <c r="C43" s="28" t="s">
        <v>94</v>
      </c>
      <c r="D43" s="9"/>
      <c r="E43" s="28"/>
      <c r="O43" s="28"/>
      <c r="P43" s="28"/>
      <c r="AF43" s="23" t="s">
        <v>1432</v>
      </c>
      <c r="AG43" s="31" t="s">
        <v>1433</v>
      </c>
      <c r="AH43" s="31" t="s">
        <v>1434</v>
      </c>
      <c r="AI43" s="29" t="s">
        <v>1435</v>
      </c>
      <c r="AJ43" s="29" t="s">
        <v>1406</v>
      </c>
      <c r="AK43" s="29" t="s">
        <v>1435</v>
      </c>
      <c r="AL43" s="29" t="s">
        <v>1407</v>
      </c>
      <c r="AM43" s="31" t="s">
        <v>1408</v>
      </c>
      <c r="AN43" s="29" t="s">
        <v>1436</v>
      </c>
      <c r="AO43" s="31" t="n">
        <v>564640</v>
      </c>
      <c r="AP43" s="32"/>
      <c r="BA43" s="31"/>
      <c r="BB43" s="31"/>
      <c r="BQ43" s="31"/>
      <c r="BR43" s="31"/>
      <c r="BZ43" s="31"/>
      <c r="CA43" s="31"/>
      <c r="CB43" s="31"/>
      <c r="CC43" s="31"/>
    </row>
    <row r="44" customFormat="false" ht="15" hidden="false" customHeight="false" outlineLevel="0" collapsed="false">
      <c r="B44" s="22" t="s">
        <v>53</v>
      </c>
      <c r="C44" s="36" t="s">
        <v>63</v>
      </c>
      <c r="D44" s="36"/>
      <c r="E44" s="28"/>
      <c r="O44" s="28"/>
      <c r="P44" s="28"/>
      <c r="AF44" s="23" t="s">
        <v>1437</v>
      </c>
      <c r="AG44" s="34" t="s">
        <v>1438</v>
      </c>
      <c r="AH44" s="31" t="s">
        <v>1439</v>
      </c>
      <c r="AI44" s="29" t="s">
        <v>1440</v>
      </c>
      <c r="AJ44" s="29" t="s">
        <v>1406</v>
      </c>
      <c r="AK44" s="29" t="s">
        <v>1440</v>
      </c>
      <c r="AL44" s="29" t="s">
        <v>1407</v>
      </c>
      <c r="AM44" s="31" t="s">
        <v>1408</v>
      </c>
      <c r="AN44" s="29" t="s">
        <v>1441</v>
      </c>
      <c r="AO44" s="31" t="n">
        <v>567959</v>
      </c>
      <c r="AP44" s="32"/>
      <c r="BA44" s="31"/>
      <c r="BB44" s="31"/>
      <c r="BQ44" s="31"/>
      <c r="BR44" s="31"/>
      <c r="BZ44" s="31"/>
      <c r="CA44" s="31"/>
      <c r="CB44" s="31"/>
      <c r="CC44" s="31"/>
    </row>
    <row r="45" customFormat="false" ht="15" hidden="false" customHeight="false" outlineLevel="0" collapsed="false">
      <c r="B45" s="22" t="s">
        <v>59</v>
      </c>
      <c r="C45" s="36" t="s">
        <v>49</v>
      </c>
      <c r="D45" s="36"/>
      <c r="E45" s="28"/>
      <c r="O45" s="28"/>
      <c r="P45" s="28"/>
      <c r="AF45" s="23" t="s">
        <v>1442</v>
      </c>
      <c r="AG45" s="31" t="s">
        <v>1443</v>
      </c>
      <c r="AH45" s="31" t="s">
        <v>1444</v>
      </c>
      <c r="AI45" s="29" t="s">
        <v>1445</v>
      </c>
      <c r="AJ45" s="29" t="s">
        <v>1446</v>
      </c>
      <c r="AK45" s="29" t="s">
        <v>1447</v>
      </c>
      <c r="AL45" s="29" t="s">
        <v>1448</v>
      </c>
      <c r="AM45" s="29" t="s">
        <v>1449</v>
      </c>
      <c r="AN45" s="29" t="s">
        <v>1450</v>
      </c>
      <c r="AO45" s="31" t="n">
        <v>209</v>
      </c>
      <c r="AP45" s="32"/>
      <c r="BA45" s="31"/>
      <c r="BB45" s="31"/>
      <c r="BQ45" s="31"/>
      <c r="BR45" s="31"/>
      <c r="BZ45" s="31"/>
      <c r="CA45" s="31"/>
      <c r="CB45" s="31"/>
      <c r="CC45" s="31"/>
    </row>
    <row r="46" customFormat="false" ht="15" hidden="false" customHeight="false" outlineLevel="0" collapsed="false">
      <c r="B46" s="22" t="s">
        <v>64</v>
      </c>
      <c r="C46" s="36" t="s">
        <v>49</v>
      </c>
      <c r="D46" s="36"/>
      <c r="E46" s="28"/>
      <c r="O46" s="28"/>
      <c r="P46" s="28"/>
      <c r="AF46" s="23" t="s">
        <v>1451</v>
      </c>
      <c r="AG46" s="31" t="s">
        <v>1452</v>
      </c>
      <c r="AH46" s="31" t="s">
        <v>1453</v>
      </c>
      <c r="AI46" s="29" t="s">
        <v>1454</v>
      </c>
      <c r="AJ46" s="29" t="s">
        <v>1208</v>
      </c>
      <c r="AK46" s="29" t="s">
        <v>1455</v>
      </c>
      <c r="AL46" s="29" t="s">
        <v>1456</v>
      </c>
      <c r="AM46" s="29" t="s">
        <v>1457</v>
      </c>
      <c r="AN46" s="29" t="s">
        <v>1458</v>
      </c>
      <c r="AO46" s="31" t="n">
        <v>563875</v>
      </c>
      <c r="AP46" s="32"/>
      <c r="BA46" s="31"/>
      <c r="BB46" s="31"/>
      <c r="BQ46" s="31"/>
      <c r="BR46" s="31"/>
      <c r="BZ46" s="31"/>
      <c r="CA46" s="31"/>
      <c r="CB46" s="31"/>
      <c r="CC46" s="31"/>
    </row>
    <row r="47" customFormat="false" ht="15" hidden="false" customHeight="false" outlineLevel="0" collapsed="false">
      <c r="B47" s="22" t="s">
        <v>66</v>
      </c>
      <c r="C47" s="36" t="s">
        <v>29</v>
      </c>
      <c r="D47" s="36"/>
      <c r="E47" s="28"/>
      <c r="O47" s="28"/>
      <c r="P47" s="28"/>
      <c r="AF47" s="23" t="s">
        <v>1459</v>
      </c>
      <c r="AG47" s="31" t="s">
        <v>1460</v>
      </c>
      <c r="AH47" s="31" t="s">
        <v>1461</v>
      </c>
      <c r="AI47" s="29" t="s">
        <v>1462</v>
      </c>
      <c r="AJ47" s="29" t="s">
        <v>1208</v>
      </c>
      <c r="AK47" s="29" t="s">
        <v>1463</v>
      </c>
      <c r="AL47" s="29" t="s">
        <v>1464</v>
      </c>
      <c r="AM47" s="29" t="s">
        <v>1465</v>
      </c>
      <c r="AN47" s="29" t="s">
        <v>1466</v>
      </c>
      <c r="AO47" s="31" t="n">
        <v>556458</v>
      </c>
      <c r="AP47" s="32"/>
      <c r="BA47" s="31"/>
      <c r="BB47" s="31"/>
      <c r="BQ47" s="31"/>
      <c r="BR47" s="31"/>
      <c r="BZ47" s="31"/>
      <c r="CA47" s="31"/>
      <c r="CB47" s="31"/>
      <c r="CC47" s="31"/>
    </row>
    <row r="48" customFormat="false" ht="15" hidden="false" customHeight="false" outlineLevel="0" collapsed="false">
      <c r="B48" s="22" t="s">
        <v>69</v>
      </c>
      <c r="C48" s="36" t="s">
        <v>72</v>
      </c>
      <c r="D48" s="36"/>
      <c r="E48" s="28"/>
      <c r="O48" s="28"/>
      <c r="P48" s="28"/>
      <c r="AF48" s="23" t="s">
        <v>1467</v>
      </c>
      <c r="AG48" s="31" t="s">
        <v>1468</v>
      </c>
      <c r="AH48" s="31" t="s">
        <v>1469</v>
      </c>
      <c r="AI48" s="29" t="s">
        <v>1470</v>
      </c>
      <c r="AJ48" s="29" t="s">
        <v>1446</v>
      </c>
      <c r="AK48" s="29" t="s">
        <v>1471</v>
      </c>
      <c r="AL48" s="29" t="s">
        <v>1472</v>
      </c>
      <c r="AM48" s="29" t="s">
        <v>1473</v>
      </c>
      <c r="AN48" s="29" t="s">
        <v>1474</v>
      </c>
      <c r="AO48" s="31" t="n">
        <v>556459</v>
      </c>
      <c r="AP48" s="32"/>
      <c r="BA48" s="31"/>
      <c r="BB48" s="31"/>
      <c r="BQ48" s="31"/>
      <c r="BR48" s="31"/>
      <c r="BZ48" s="31"/>
      <c r="CA48" s="31"/>
      <c r="CB48" s="31"/>
      <c r="CC48" s="31"/>
    </row>
    <row r="49" customFormat="false" ht="15" hidden="false" customHeight="false" outlineLevel="0" collapsed="false">
      <c r="B49" s="22" t="s">
        <v>73</v>
      </c>
      <c r="C49" s="36" t="s">
        <v>94</v>
      </c>
      <c r="D49" s="36"/>
      <c r="E49" s="28"/>
      <c r="O49" s="28"/>
      <c r="P49" s="28"/>
      <c r="AF49" s="23" t="s">
        <v>1475</v>
      </c>
      <c r="AG49" s="31" t="s">
        <v>1476</v>
      </c>
      <c r="AH49" s="31" t="s">
        <v>1477</v>
      </c>
      <c r="AI49" s="29" t="s">
        <v>1478</v>
      </c>
      <c r="AJ49" s="29" t="s">
        <v>1003</v>
      </c>
      <c r="AK49" s="29" t="s">
        <v>1479</v>
      </c>
      <c r="AL49" s="29" t="s">
        <v>1480</v>
      </c>
      <c r="AM49" s="29" t="s">
        <v>1481</v>
      </c>
      <c r="AN49" s="29" t="s">
        <v>1482</v>
      </c>
      <c r="AO49" s="31" t="n">
        <v>556457</v>
      </c>
      <c r="AP49" s="32"/>
      <c r="BA49" s="31"/>
      <c r="BB49" s="31"/>
      <c r="BQ49" s="31"/>
      <c r="BR49" s="31"/>
      <c r="BZ49" s="31"/>
      <c r="CA49" s="31"/>
      <c r="CB49" s="31"/>
      <c r="CC49" s="31"/>
    </row>
    <row r="50" customFormat="false" ht="15" hidden="false" customHeight="false" outlineLevel="0" collapsed="false">
      <c r="C50" s="36"/>
      <c r="D50" s="36"/>
      <c r="E50" s="28"/>
      <c r="O50" s="28"/>
      <c r="P50" s="28"/>
      <c r="AF50" s="23" t="s">
        <v>1483</v>
      </c>
      <c r="AG50" s="31" t="s">
        <v>1484</v>
      </c>
      <c r="AH50" s="31" t="s">
        <v>1485</v>
      </c>
      <c r="AI50" s="29" t="s">
        <v>1486</v>
      </c>
      <c r="AJ50" s="29" t="s">
        <v>1446</v>
      </c>
      <c r="AK50" s="29" t="s">
        <v>1487</v>
      </c>
      <c r="AL50" s="29" t="s">
        <v>1488</v>
      </c>
      <c r="AM50" s="29" t="s">
        <v>1489</v>
      </c>
      <c r="AN50" s="29" t="s">
        <v>1490</v>
      </c>
      <c r="AO50" s="31" t="n">
        <v>611746</v>
      </c>
      <c r="AP50" s="32"/>
      <c r="BA50" s="31"/>
      <c r="BB50" s="31"/>
      <c r="BQ50" s="31"/>
      <c r="BR50" s="31"/>
      <c r="BZ50" s="31"/>
      <c r="CA50" s="31"/>
      <c r="CB50" s="31"/>
      <c r="CC50" s="31"/>
    </row>
    <row r="51" customFormat="false" ht="15" hidden="false" customHeight="false" outlineLevel="0" collapsed="false">
      <c r="O51" s="28"/>
      <c r="P51" s="28"/>
      <c r="AF51" s="23" t="s">
        <v>1491</v>
      </c>
      <c r="AG51" s="31" t="s">
        <v>1492</v>
      </c>
      <c r="AH51" s="31" t="s">
        <v>1493</v>
      </c>
      <c r="AI51" s="29" t="s">
        <v>1494</v>
      </c>
      <c r="AJ51" s="29" t="s">
        <v>1003</v>
      </c>
      <c r="AK51" s="29" t="s">
        <v>1495</v>
      </c>
      <c r="AL51" s="29" t="s">
        <v>1496</v>
      </c>
      <c r="AM51" s="29" t="s">
        <v>1497</v>
      </c>
      <c r="AN51" s="29" t="s">
        <v>1498</v>
      </c>
      <c r="AO51" s="31" t="n">
        <v>566477</v>
      </c>
      <c r="AP51" s="32"/>
      <c r="BA51" s="31"/>
      <c r="BB51" s="31"/>
      <c r="BQ51" s="31"/>
      <c r="BR51" s="31"/>
      <c r="BZ51" s="31"/>
      <c r="CA51" s="31"/>
      <c r="CB51" s="31"/>
      <c r="CC51" s="31"/>
    </row>
    <row r="52" customFormat="false" ht="15" hidden="false" customHeight="false" outlineLevel="0" collapsed="false">
      <c r="O52" s="28"/>
      <c r="P52" s="28"/>
      <c r="AF52" s="23" t="s">
        <v>1499</v>
      </c>
      <c r="AG52" s="31" t="s">
        <v>1500</v>
      </c>
      <c r="AH52" s="31" t="s">
        <v>1501</v>
      </c>
      <c r="AI52" s="29" t="s">
        <v>1502</v>
      </c>
      <c r="AJ52" s="29" t="s">
        <v>1003</v>
      </c>
      <c r="AK52" s="29" t="s">
        <v>1503</v>
      </c>
      <c r="AL52" s="29" t="s">
        <v>1504</v>
      </c>
      <c r="AM52" s="29" t="s">
        <v>1505</v>
      </c>
      <c r="AN52" s="29" t="s">
        <v>1506</v>
      </c>
      <c r="AO52" s="31" t="n">
        <v>568307</v>
      </c>
      <c r="AP52" s="32"/>
      <c r="BA52" s="31"/>
      <c r="BB52" s="31"/>
      <c r="BQ52" s="31"/>
      <c r="BR52" s="31"/>
      <c r="BZ52" s="31"/>
      <c r="CA52" s="31"/>
      <c r="CB52" s="31"/>
      <c r="CC52" s="31"/>
    </row>
    <row r="53" customFormat="false" ht="15" hidden="false" customHeight="false" outlineLevel="0" collapsed="false">
      <c r="O53" s="28"/>
      <c r="P53" s="28"/>
      <c r="AF53" s="23" t="s">
        <v>1507</v>
      </c>
      <c r="AG53" s="31" t="s">
        <v>1508</v>
      </c>
      <c r="AH53" s="31" t="s">
        <v>1509</v>
      </c>
      <c r="AI53" s="29" t="s">
        <v>1510</v>
      </c>
      <c r="AJ53" s="29" t="s">
        <v>1511</v>
      </c>
      <c r="AK53" s="29" t="s">
        <v>1512</v>
      </c>
      <c r="AL53" s="29" t="s">
        <v>1513</v>
      </c>
      <c r="AM53" s="29" t="s">
        <v>1514</v>
      </c>
      <c r="AN53" s="29" t="s">
        <v>1515</v>
      </c>
      <c r="AO53" s="31" t="n">
        <v>568306</v>
      </c>
      <c r="AP53" s="32"/>
      <c r="BA53" s="31"/>
      <c r="BB53" s="31"/>
      <c r="BQ53" s="31"/>
      <c r="BR53" s="31"/>
      <c r="BZ53" s="31"/>
      <c r="CA53" s="31"/>
      <c r="CB53" s="31"/>
      <c r="CC53" s="31"/>
    </row>
    <row r="54" customFormat="false" ht="15" hidden="false" customHeight="false" outlineLevel="0" collapsed="false">
      <c r="O54" s="28"/>
      <c r="P54" s="28"/>
      <c r="AF54" s="23" t="s">
        <v>1516</v>
      </c>
      <c r="AG54" s="31" t="s">
        <v>1517</v>
      </c>
      <c r="AH54" s="31" t="s">
        <v>1518</v>
      </c>
      <c r="AI54" s="29" t="s">
        <v>1519</v>
      </c>
      <c r="AJ54" s="29" t="s">
        <v>1003</v>
      </c>
      <c r="AK54" s="29" t="s">
        <v>1520</v>
      </c>
      <c r="AL54" s="29" t="s">
        <v>1521</v>
      </c>
      <c r="AM54" s="29" t="s">
        <v>1522</v>
      </c>
      <c r="AN54" s="29" t="s">
        <v>1523</v>
      </c>
      <c r="AO54" s="31" t="n">
        <v>568308</v>
      </c>
      <c r="AP54" s="32"/>
      <c r="BA54" s="31"/>
      <c r="BB54" s="31"/>
      <c r="BQ54" s="31"/>
      <c r="BR54" s="31"/>
      <c r="BZ54" s="31"/>
      <c r="CA54" s="31"/>
      <c r="CB54" s="31"/>
      <c r="CC54" s="31"/>
    </row>
    <row r="55" customFormat="false" ht="15" hidden="false" customHeight="false" outlineLevel="0" collapsed="false">
      <c r="O55" s="28"/>
      <c r="P55" s="28"/>
      <c r="AF55" s="23" t="s">
        <v>1524</v>
      </c>
      <c r="AG55" s="31" t="s">
        <v>1525</v>
      </c>
      <c r="AH55" s="31" t="s">
        <v>1526</v>
      </c>
      <c r="AI55" s="29" t="s">
        <v>1527</v>
      </c>
      <c r="AJ55" s="29" t="s">
        <v>1003</v>
      </c>
      <c r="AK55" s="29" t="s">
        <v>1528</v>
      </c>
      <c r="AL55" s="29" t="s">
        <v>1529</v>
      </c>
      <c r="AM55" s="29" t="s">
        <v>1530</v>
      </c>
      <c r="AN55" s="29" t="s">
        <v>1531</v>
      </c>
      <c r="AO55" s="31" t="n">
        <v>555487</v>
      </c>
      <c r="AP55" s="32"/>
      <c r="BA55" s="31"/>
      <c r="BB55" s="31"/>
      <c r="BQ55" s="31"/>
      <c r="BR55" s="31"/>
      <c r="BZ55" s="31"/>
      <c r="CA55" s="31"/>
      <c r="CB55" s="31"/>
      <c r="CC55" s="31"/>
    </row>
    <row r="56" customFormat="false" ht="15" hidden="false" customHeight="false" outlineLevel="0" collapsed="false">
      <c r="O56" s="28"/>
      <c r="P56" s="28"/>
      <c r="AF56" s="23" t="s">
        <v>1532</v>
      </c>
      <c r="AG56" s="31" t="s">
        <v>1533</v>
      </c>
      <c r="AH56" s="31" t="s">
        <v>1534</v>
      </c>
      <c r="AI56" s="29" t="s">
        <v>1535</v>
      </c>
      <c r="AJ56" s="29" t="s">
        <v>1208</v>
      </c>
      <c r="AK56" s="29" t="s">
        <v>1536</v>
      </c>
      <c r="AL56" s="29" t="s">
        <v>1536</v>
      </c>
      <c r="AM56" s="29" t="s">
        <v>1537</v>
      </c>
      <c r="AN56" s="29" t="s">
        <v>1538</v>
      </c>
      <c r="AO56" s="31" t="n">
        <v>555422</v>
      </c>
      <c r="AP56" s="32"/>
      <c r="BA56" s="31"/>
      <c r="BB56" s="31"/>
      <c r="BQ56" s="31"/>
      <c r="BR56" s="31"/>
      <c r="BZ56" s="31"/>
      <c r="CA56" s="31"/>
      <c r="CB56" s="31"/>
      <c r="CC56" s="31"/>
    </row>
    <row r="57" customFormat="false" ht="15" hidden="false" customHeight="false" outlineLevel="0" collapsed="false">
      <c r="O57" s="28"/>
      <c r="P57" s="28"/>
      <c r="AF57" s="23" t="s">
        <v>1539</v>
      </c>
      <c r="AG57" s="31" t="s">
        <v>1540</v>
      </c>
      <c r="AH57" s="31" t="s">
        <v>1541</v>
      </c>
      <c r="AI57" s="29" t="s">
        <v>1542</v>
      </c>
      <c r="AJ57" s="29" t="s">
        <v>1543</v>
      </c>
      <c r="AK57" s="29" t="s">
        <v>1542</v>
      </c>
      <c r="AL57" s="29" t="s">
        <v>1153</v>
      </c>
      <c r="AM57" s="29" t="s">
        <v>1154</v>
      </c>
      <c r="AN57" s="29" t="s">
        <v>1544</v>
      </c>
      <c r="AO57" s="31" t="n">
        <v>555466</v>
      </c>
      <c r="AP57" s="32"/>
      <c r="BA57" s="31"/>
      <c r="BB57" s="31"/>
      <c r="BQ57" s="31"/>
      <c r="BR57" s="31"/>
      <c r="BZ57" s="31"/>
      <c r="CA57" s="31"/>
      <c r="CB57" s="31"/>
      <c r="CC57" s="31"/>
    </row>
    <row r="58" customFormat="false" ht="15" hidden="false" customHeight="false" outlineLevel="0" collapsed="false">
      <c r="O58" s="28"/>
      <c r="P58" s="28"/>
      <c r="AF58" s="23" t="s">
        <v>1545</v>
      </c>
      <c r="AG58" s="31" t="s">
        <v>1546</v>
      </c>
      <c r="AH58" s="31" t="s">
        <v>1547</v>
      </c>
      <c r="AI58" s="31" t="s">
        <v>1548</v>
      </c>
      <c r="AJ58" s="29" t="s">
        <v>1549</v>
      </c>
      <c r="AK58" s="29" t="s">
        <v>1550</v>
      </c>
      <c r="AL58" s="31" t="s">
        <v>1551</v>
      </c>
      <c r="AM58" s="31" t="s">
        <v>1552</v>
      </c>
      <c r="AN58" s="29" t="s">
        <v>1553</v>
      </c>
      <c r="AO58" s="31" t="n">
        <v>555436</v>
      </c>
      <c r="AP58" s="32"/>
      <c r="BA58" s="31"/>
      <c r="BB58" s="31"/>
      <c r="BQ58" s="31"/>
      <c r="BR58" s="31"/>
      <c r="BZ58" s="31"/>
      <c r="CA58" s="31"/>
      <c r="CB58" s="31"/>
      <c r="CC58" s="31"/>
    </row>
    <row r="59" customFormat="false" ht="15" hidden="false" customHeight="false" outlineLevel="0" collapsed="false">
      <c r="O59" s="28"/>
      <c r="P59" s="28"/>
      <c r="AF59" s="23" t="s">
        <v>1554</v>
      </c>
      <c r="AG59" s="31" t="s">
        <v>1555</v>
      </c>
      <c r="AH59" s="31" t="s">
        <v>1556</v>
      </c>
      <c r="AI59" s="29" t="s">
        <v>1557</v>
      </c>
      <c r="AJ59" s="29" t="s">
        <v>1549</v>
      </c>
      <c r="AK59" s="29" t="s">
        <v>1558</v>
      </c>
      <c r="AL59" s="29" t="s">
        <v>1559</v>
      </c>
      <c r="AM59" s="31" t="s">
        <v>1560</v>
      </c>
      <c r="AN59" s="29" t="s">
        <v>1561</v>
      </c>
      <c r="AO59" s="31" t="n">
        <v>564255</v>
      </c>
      <c r="AP59" s="32"/>
    </row>
    <row r="60" customFormat="false" ht="15" hidden="false" customHeight="false" outlineLevel="0" collapsed="false">
      <c r="O60" s="28"/>
      <c r="P60" s="28"/>
      <c r="AF60" s="23" t="s">
        <v>1562</v>
      </c>
      <c r="AG60" s="31" t="s">
        <v>1563</v>
      </c>
      <c r="AH60" s="31" t="s">
        <v>1564</v>
      </c>
      <c r="AI60" s="29" t="s">
        <v>1565</v>
      </c>
      <c r="AJ60" s="29" t="s">
        <v>1549</v>
      </c>
      <c r="AK60" s="29" t="s">
        <v>1566</v>
      </c>
      <c r="AL60" s="29" t="s">
        <v>1567</v>
      </c>
      <c r="AM60" s="29" t="s">
        <v>1568</v>
      </c>
      <c r="AN60" s="23" t="s">
        <v>1569</v>
      </c>
      <c r="AO60" s="31" t="n">
        <v>479630</v>
      </c>
      <c r="AP60" s="32"/>
    </row>
    <row r="61" customFormat="false" ht="15" hidden="false" customHeight="false" outlineLevel="0" collapsed="false">
      <c r="O61" s="28"/>
      <c r="P61" s="28"/>
      <c r="AF61" s="23" t="s">
        <v>1570</v>
      </c>
      <c r="AG61" s="31" t="s">
        <v>1571</v>
      </c>
      <c r="AH61" s="31" t="s">
        <v>1572</v>
      </c>
      <c r="AI61" s="29" t="s">
        <v>1573</v>
      </c>
      <c r="AJ61" s="29" t="s">
        <v>1549</v>
      </c>
      <c r="AK61" s="29" t="s">
        <v>1574</v>
      </c>
      <c r="AL61" s="29" t="s">
        <v>1575</v>
      </c>
      <c r="AM61" s="29" t="s">
        <v>1576</v>
      </c>
      <c r="AN61" s="23" t="s">
        <v>1577</v>
      </c>
      <c r="AO61" s="31" t="n">
        <v>564296</v>
      </c>
      <c r="AP61" s="32"/>
    </row>
    <row r="62" customFormat="false" ht="15" hidden="false" customHeight="false" outlineLevel="0" collapsed="false">
      <c r="O62" s="28"/>
      <c r="P62" s="28"/>
      <c r="AF62" s="23" t="s">
        <v>1578</v>
      </c>
      <c r="AG62" s="31" t="s">
        <v>1579</v>
      </c>
      <c r="AH62" s="31" t="s">
        <v>1580</v>
      </c>
      <c r="AI62" s="29" t="s">
        <v>1581</v>
      </c>
      <c r="AJ62" s="29" t="s">
        <v>1582</v>
      </c>
      <c r="AK62" s="29" t="s">
        <v>1583</v>
      </c>
      <c r="AL62" s="29" t="s">
        <v>1583</v>
      </c>
      <c r="AM62" s="29" t="s">
        <v>1584</v>
      </c>
      <c r="AN62" s="23" t="s">
        <v>1585</v>
      </c>
      <c r="AO62" s="31" t="n">
        <v>607639</v>
      </c>
      <c r="AP62" s="32"/>
    </row>
    <row r="63" customFormat="false" ht="15" hidden="false" customHeight="false" outlineLevel="0" collapsed="false">
      <c r="O63" s="28"/>
      <c r="P63" s="28"/>
      <c r="AF63" s="23" t="s">
        <v>1586</v>
      </c>
      <c r="AG63" s="31" t="s">
        <v>1587</v>
      </c>
      <c r="AH63" s="31" t="s">
        <v>1588</v>
      </c>
      <c r="AI63" s="29" t="s">
        <v>1589</v>
      </c>
      <c r="AJ63" s="29" t="s">
        <v>1582</v>
      </c>
      <c r="AK63" s="29" t="s">
        <v>1590</v>
      </c>
      <c r="AL63" s="29" t="s">
        <v>1590</v>
      </c>
      <c r="AM63" s="29" t="s">
        <v>1591</v>
      </c>
      <c r="AN63" s="23" t="s">
        <v>1592</v>
      </c>
      <c r="AO63" s="31" t="n">
        <v>615059</v>
      </c>
      <c r="AP63" s="32"/>
    </row>
    <row r="64" customFormat="false" ht="15" hidden="false" customHeight="false" outlineLevel="0" collapsed="false">
      <c r="O64" s="28"/>
      <c r="P64" s="28"/>
      <c r="AH64" s="31" t="s">
        <v>1593</v>
      </c>
      <c r="AI64" s="31" t="s">
        <v>1594</v>
      </c>
      <c r="AJ64" s="29" t="s">
        <v>1582</v>
      </c>
      <c r="AK64" s="29" t="s">
        <v>1595</v>
      </c>
      <c r="AL64" s="31" t="s">
        <v>1595</v>
      </c>
      <c r="AM64" s="31" t="s">
        <v>1596</v>
      </c>
      <c r="AN64" s="23" t="s">
        <v>1597</v>
      </c>
      <c r="AO64" s="31" t="n">
        <v>607242</v>
      </c>
      <c r="AP64" s="32"/>
    </row>
    <row r="65" customFormat="false" ht="15" hidden="false" customHeight="false" outlineLevel="0" collapsed="false">
      <c r="O65" s="28"/>
      <c r="P65" s="28"/>
      <c r="AH65" s="31" t="s">
        <v>1598</v>
      </c>
      <c r="AI65" s="29" t="s">
        <v>1599</v>
      </c>
      <c r="AJ65" s="29" t="s">
        <v>1600</v>
      </c>
      <c r="AK65" s="29" t="s">
        <v>1601</v>
      </c>
      <c r="AL65" s="29" t="s">
        <v>1601</v>
      </c>
      <c r="AM65" s="29" t="s">
        <v>1602</v>
      </c>
      <c r="AN65" s="23" t="s">
        <v>1603</v>
      </c>
      <c r="AO65" s="31" t="n">
        <v>572924</v>
      </c>
      <c r="AP65" s="32"/>
    </row>
    <row r="66" customFormat="false" ht="15" hidden="false" customHeight="false" outlineLevel="0" collapsed="false">
      <c r="O66" s="28"/>
      <c r="P66" s="28"/>
      <c r="AH66" s="31" t="s">
        <v>1604</v>
      </c>
      <c r="AI66" s="29" t="s">
        <v>1605</v>
      </c>
      <c r="AJ66" s="29" t="s">
        <v>1606</v>
      </c>
      <c r="AK66" s="29" t="s">
        <v>1607</v>
      </c>
      <c r="AL66" s="29" t="s">
        <v>1607</v>
      </c>
      <c r="AM66" s="29" t="s">
        <v>1608</v>
      </c>
      <c r="AN66" s="23" t="s">
        <v>1609</v>
      </c>
      <c r="AO66" s="31" t="n">
        <v>417801</v>
      </c>
      <c r="AP66" s="32"/>
    </row>
    <row r="67" customFormat="false" ht="15" hidden="false" customHeight="false" outlineLevel="0" collapsed="false">
      <c r="O67" s="28"/>
      <c r="P67" s="28"/>
      <c r="AH67" s="31" t="s">
        <v>1610</v>
      </c>
      <c r="AI67" s="29" t="s">
        <v>1611</v>
      </c>
      <c r="AJ67" s="29" t="s">
        <v>1612</v>
      </c>
      <c r="AK67" s="29" t="s">
        <v>1613</v>
      </c>
      <c r="AL67" s="29" t="s">
        <v>1614</v>
      </c>
      <c r="AM67" s="29" t="s">
        <v>1615</v>
      </c>
      <c r="AN67" s="23" t="s">
        <v>1616</v>
      </c>
      <c r="AO67" s="31" t="n">
        <v>616867</v>
      </c>
      <c r="AP67" s="32"/>
    </row>
    <row r="68" customFormat="false" ht="15" hidden="false" customHeight="false" outlineLevel="0" collapsed="false">
      <c r="O68" s="28"/>
      <c r="P68" s="28"/>
      <c r="AH68" s="31" t="s">
        <v>1617</v>
      </c>
      <c r="AI68" s="29" t="s">
        <v>1618</v>
      </c>
      <c r="AJ68" s="29" t="s">
        <v>1612</v>
      </c>
      <c r="AK68" s="29" t="s">
        <v>1619</v>
      </c>
      <c r="AL68" s="29" t="s">
        <v>1614</v>
      </c>
      <c r="AM68" s="29" t="s">
        <v>1615</v>
      </c>
      <c r="AN68" s="23" t="s">
        <v>1620</v>
      </c>
      <c r="AO68" s="31" t="n">
        <v>567718</v>
      </c>
      <c r="AP68" s="32"/>
    </row>
    <row r="69" customFormat="false" ht="15" hidden="false" customHeight="false" outlineLevel="0" collapsed="false">
      <c r="O69" s="28"/>
      <c r="P69" s="28"/>
      <c r="AH69" s="31" t="s">
        <v>1621</v>
      </c>
      <c r="AI69" s="29" t="s">
        <v>1622</v>
      </c>
      <c r="AJ69" s="29" t="s">
        <v>1612</v>
      </c>
      <c r="AK69" s="29" t="s">
        <v>1623</v>
      </c>
      <c r="AL69" s="29" t="s">
        <v>1614</v>
      </c>
      <c r="AM69" s="29" t="s">
        <v>1615</v>
      </c>
      <c r="AN69" s="23" t="s">
        <v>1624</v>
      </c>
      <c r="AO69" s="31" t="n">
        <v>480410</v>
      </c>
      <c r="AP69" s="32"/>
    </row>
    <row r="70" customFormat="false" ht="15" hidden="false" customHeight="false" outlineLevel="0" collapsed="false">
      <c r="O70" s="28"/>
      <c r="P70" s="28"/>
      <c r="AH70" s="31" t="s">
        <v>1625</v>
      </c>
      <c r="AI70" s="29" t="s">
        <v>1626</v>
      </c>
      <c r="AJ70" s="29" t="s">
        <v>1612</v>
      </c>
      <c r="AK70" s="29" t="s">
        <v>1627</v>
      </c>
      <c r="AL70" s="29" t="s">
        <v>1614</v>
      </c>
      <c r="AM70" s="29" t="s">
        <v>1615</v>
      </c>
      <c r="AN70" s="23" t="s">
        <v>1628</v>
      </c>
      <c r="AO70" s="31" t="n">
        <v>563832</v>
      </c>
      <c r="AP70" s="32"/>
    </row>
    <row r="71" customFormat="false" ht="15" hidden="false" customHeight="false" outlineLevel="0" collapsed="false">
      <c r="O71" s="28"/>
      <c r="P71" s="28"/>
      <c r="AH71" s="31" t="s">
        <v>1629</v>
      </c>
      <c r="AI71" s="29" t="s">
        <v>1630</v>
      </c>
      <c r="AJ71" s="29" t="s">
        <v>1612</v>
      </c>
      <c r="AK71" s="29" t="s">
        <v>1631</v>
      </c>
      <c r="AL71" s="29" t="s">
        <v>1614</v>
      </c>
      <c r="AM71" s="29" t="s">
        <v>1615</v>
      </c>
      <c r="AN71" s="23" t="s">
        <v>1632</v>
      </c>
      <c r="AO71" s="31" t="n">
        <v>103417</v>
      </c>
      <c r="AP71" s="32"/>
    </row>
    <row r="72" customFormat="false" ht="15" hidden="false" customHeight="false" outlineLevel="0" collapsed="false">
      <c r="O72" s="28"/>
      <c r="P72" s="28"/>
      <c r="AH72" s="31" t="s">
        <v>1633</v>
      </c>
      <c r="AI72" s="29" t="s">
        <v>1634</v>
      </c>
      <c r="AJ72" s="29" t="s">
        <v>1612</v>
      </c>
      <c r="AK72" s="29" t="s">
        <v>1635</v>
      </c>
      <c r="AL72" s="29" t="s">
        <v>1614</v>
      </c>
      <c r="AM72" s="29" t="s">
        <v>1615</v>
      </c>
      <c r="AN72" s="23" t="s">
        <v>1636</v>
      </c>
      <c r="AO72" s="31" t="n">
        <v>563879</v>
      </c>
      <c r="AP72" s="32"/>
    </row>
    <row r="73" customFormat="false" ht="15" hidden="false" customHeight="false" outlineLevel="0" collapsed="false">
      <c r="O73" s="28"/>
      <c r="P73" s="28"/>
      <c r="AH73" s="31" t="s">
        <v>1637</v>
      </c>
      <c r="AI73" s="29" t="s">
        <v>1638</v>
      </c>
      <c r="AJ73" s="29" t="s">
        <v>1612</v>
      </c>
      <c r="AK73" s="29" t="s">
        <v>1639</v>
      </c>
      <c r="AL73" s="29" t="s">
        <v>1614</v>
      </c>
      <c r="AM73" s="29" t="s">
        <v>1615</v>
      </c>
      <c r="AN73" s="23" t="s">
        <v>1640</v>
      </c>
      <c r="AO73" s="31" t="n">
        <v>616958</v>
      </c>
      <c r="AP73" s="32"/>
    </row>
    <row r="74" customFormat="false" ht="15" hidden="false" customHeight="false" outlineLevel="0" collapsed="false">
      <c r="O74" s="28"/>
      <c r="P74" s="28"/>
      <c r="AH74" s="31" t="s">
        <v>1641</v>
      </c>
      <c r="AI74" s="29" t="s">
        <v>1642</v>
      </c>
      <c r="AJ74" s="29" t="s">
        <v>1003</v>
      </c>
      <c r="AK74" s="29" t="s">
        <v>1642</v>
      </c>
      <c r="AN74" s="23" t="s">
        <v>1643</v>
      </c>
      <c r="AO74" s="31" t="n">
        <v>555276</v>
      </c>
      <c r="AP74" s="32"/>
    </row>
    <row r="75" customFormat="false" ht="15" hidden="false" customHeight="false" outlineLevel="0" collapsed="false">
      <c r="O75" s="28"/>
      <c r="P75" s="28"/>
      <c r="AH75" s="31" t="s">
        <v>1644</v>
      </c>
      <c r="AI75" s="29" t="s">
        <v>1645</v>
      </c>
      <c r="AJ75" s="29" t="s">
        <v>1003</v>
      </c>
      <c r="AK75" s="29" t="s">
        <v>1645</v>
      </c>
      <c r="AN75" s="23" t="s">
        <v>1646</v>
      </c>
      <c r="AO75" s="31" t="n">
        <v>615565</v>
      </c>
      <c r="AP75" s="32"/>
    </row>
    <row r="76" customFormat="false" ht="15" hidden="false" customHeight="false" outlineLevel="0" collapsed="false">
      <c r="O76" s="28"/>
      <c r="P76" s="28"/>
      <c r="AH76" s="31" t="s">
        <v>1647</v>
      </c>
      <c r="AI76" s="29" t="s">
        <v>1648</v>
      </c>
      <c r="AJ76" s="29" t="s">
        <v>1003</v>
      </c>
      <c r="AK76" s="29" t="s">
        <v>1648</v>
      </c>
      <c r="AN76" s="23" t="s">
        <v>1649</v>
      </c>
      <c r="AO76" s="31" t="n">
        <v>567044</v>
      </c>
      <c r="AP76" s="32"/>
    </row>
    <row r="77" customFormat="false" ht="15" hidden="false" customHeight="false" outlineLevel="0" collapsed="false">
      <c r="O77" s="28"/>
      <c r="P77" s="28"/>
      <c r="AH77" s="31" t="s">
        <v>1650</v>
      </c>
      <c r="AI77" s="29" t="s">
        <v>1651</v>
      </c>
      <c r="AJ77" s="29" t="s">
        <v>1003</v>
      </c>
      <c r="AK77" s="29" t="s">
        <v>1651</v>
      </c>
      <c r="AN77" s="23" t="s">
        <v>1652</v>
      </c>
      <c r="AO77" s="31" t="n">
        <v>617031</v>
      </c>
      <c r="AP77" s="32"/>
    </row>
    <row r="78" customFormat="false" ht="15" hidden="false" customHeight="false" outlineLevel="0" collapsed="false">
      <c r="O78" s="28"/>
      <c r="P78" s="28"/>
      <c r="AH78" s="31" t="s">
        <v>1653</v>
      </c>
      <c r="AI78" s="29" t="s">
        <v>1654</v>
      </c>
      <c r="AJ78" s="29" t="s">
        <v>1003</v>
      </c>
      <c r="AK78" s="29" t="s">
        <v>1654</v>
      </c>
      <c r="AN78" s="23" t="s">
        <v>1655</v>
      </c>
      <c r="AO78" s="31" t="n">
        <v>617033</v>
      </c>
      <c r="AP78" s="32"/>
    </row>
    <row r="79" customFormat="false" ht="15" hidden="false" customHeight="false" outlineLevel="0" collapsed="false">
      <c r="O79" s="28"/>
      <c r="P79" s="28"/>
      <c r="AH79" s="31" t="s">
        <v>1656</v>
      </c>
      <c r="AI79" s="29" t="s">
        <v>1657</v>
      </c>
      <c r="AJ79" s="29" t="s">
        <v>1003</v>
      </c>
      <c r="AK79" s="29" t="s">
        <v>1657</v>
      </c>
      <c r="AN79" s="23" t="s">
        <v>1658</v>
      </c>
      <c r="AO79" s="31" t="n">
        <v>564528</v>
      </c>
      <c r="AP79" s="32"/>
    </row>
    <row r="80" customFormat="false" ht="15" hidden="false" customHeight="false" outlineLevel="0" collapsed="false">
      <c r="O80" s="28"/>
      <c r="P80" s="28"/>
      <c r="AH80" s="31" t="s">
        <v>1659</v>
      </c>
      <c r="AI80" s="29" t="s">
        <v>1660</v>
      </c>
      <c r="AJ80" s="29" t="s">
        <v>1003</v>
      </c>
      <c r="AK80" s="29" t="s">
        <v>1660</v>
      </c>
      <c r="AN80" s="23" t="s">
        <v>1661</v>
      </c>
      <c r="AO80" s="31" t="n">
        <v>609628</v>
      </c>
      <c r="AP80" s="32"/>
    </row>
    <row r="81" customFormat="false" ht="15" hidden="false" customHeight="false" outlineLevel="0" collapsed="false">
      <c r="O81" s="28"/>
      <c r="P81" s="28"/>
      <c r="AH81" s="31" t="s">
        <v>1662</v>
      </c>
      <c r="AI81" s="29" t="s">
        <v>1663</v>
      </c>
      <c r="AJ81" s="29" t="s">
        <v>1003</v>
      </c>
      <c r="AK81" s="29" t="s">
        <v>1663</v>
      </c>
      <c r="AN81" s="23" t="s">
        <v>1664</v>
      </c>
      <c r="AO81" s="31" t="n">
        <v>564254</v>
      </c>
      <c r="AP81" s="32"/>
    </row>
    <row r="82" customFormat="false" ht="15" hidden="false" customHeight="false" outlineLevel="0" collapsed="false">
      <c r="O82" s="28"/>
      <c r="P82" s="28"/>
      <c r="AH82" s="31" t="s">
        <v>1665</v>
      </c>
      <c r="AI82" s="29" t="s">
        <v>1666</v>
      </c>
      <c r="AJ82" s="29" t="s">
        <v>1003</v>
      </c>
      <c r="AK82" s="29" t="s">
        <v>1666</v>
      </c>
      <c r="AN82" s="23" t="s">
        <v>1667</v>
      </c>
      <c r="AO82" s="31" t="n">
        <v>470689</v>
      </c>
      <c r="AP82" s="32"/>
    </row>
    <row r="83" customFormat="false" ht="15" hidden="false" customHeight="false" outlineLevel="0" collapsed="false">
      <c r="O83" s="28"/>
      <c r="P83" s="28"/>
      <c r="AH83" s="31" t="s">
        <v>1668</v>
      </c>
      <c r="AI83" s="29" t="s">
        <v>1669</v>
      </c>
      <c r="AJ83" s="29" t="s">
        <v>1003</v>
      </c>
      <c r="AK83" s="29" t="s">
        <v>1669</v>
      </c>
      <c r="AN83" s="23" t="s">
        <v>1670</v>
      </c>
      <c r="AO83" s="31" t="n">
        <v>455216</v>
      </c>
      <c r="AP83" s="32"/>
    </row>
    <row r="84" customFormat="false" ht="15" hidden="false" customHeight="false" outlineLevel="0" collapsed="false">
      <c r="O84" s="28"/>
      <c r="P84" s="28"/>
      <c r="AH84" s="31" t="s">
        <v>1671</v>
      </c>
      <c r="AI84" s="29" t="s">
        <v>1672</v>
      </c>
      <c r="AJ84" s="29" t="s">
        <v>1003</v>
      </c>
      <c r="AK84" s="29" t="s">
        <v>1672</v>
      </c>
      <c r="AN84" s="23" t="s">
        <v>1673</v>
      </c>
      <c r="AO84" s="31" t="n">
        <v>417796</v>
      </c>
      <c r="AP84" s="32"/>
    </row>
    <row r="85" customFormat="false" ht="15" hidden="false" customHeight="false" outlineLevel="0" collapsed="false">
      <c r="O85" s="28"/>
      <c r="P85" s="28"/>
      <c r="AH85" s="31" t="s">
        <v>1674</v>
      </c>
      <c r="AI85" s="29" t="s">
        <v>1675</v>
      </c>
      <c r="AJ85" s="29" t="s">
        <v>1003</v>
      </c>
      <c r="AK85" s="29" t="s">
        <v>1675</v>
      </c>
      <c r="AN85" s="23" t="s">
        <v>1676</v>
      </c>
      <c r="AO85" s="31" t="n">
        <v>567264</v>
      </c>
      <c r="AP85" s="32"/>
    </row>
    <row r="86" customFormat="false" ht="15" hidden="false" customHeight="false" outlineLevel="0" collapsed="false">
      <c r="O86" s="28"/>
      <c r="P86" s="28"/>
      <c r="AH86" s="31" t="s">
        <v>1677</v>
      </c>
      <c r="AI86" s="29" t="s">
        <v>1678</v>
      </c>
      <c r="AJ86" s="29" t="s">
        <v>1003</v>
      </c>
      <c r="AK86" s="29" t="s">
        <v>1678</v>
      </c>
      <c r="AN86" s="23" t="s">
        <v>1679</v>
      </c>
      <c r="AO86" s="31" t="n">
        <v>566475</v>
      </c>
      <c r="AP86" s="32"/>
    </row>
    <row r="87" customFormat="false" ht="15" hidden="false" customHeight="false" outlineLevel="0" collapsed="false">
      <c r="O87" s="28"/>
      <c r="P87" s="28"/>
      <c r="AH87" s="31" t="s">
        <v>1680</v>
      </c>
      <c r="AI87" s="29" t="s">
        <v>1681</v>
      </c>
      <c r="AJ87" s="29" t="s">
        <v>1003</v>
      </c>
      <c r="AK87" s="29" t="s">
        <v>1681</v>
      </c>
      <c r="AN87" s="23" t="s">
        <v>1682</v>
      </c>
      <c r="AO87" s="31" t="n">
        <v>567261</v>
      </c>
      <c r="AP87" s="32"/>
    </row>
    <row r="88" customFormat="false" ht="15" hidden="false" customHeight="false" outlineLevel="0" collapsed="false">
      <c r="O88" s="28"/>
      <c r="P88" s="28"/>
      <c r="AH88" s="31" t="s">
        <v>1683</v>
      </c>
      <c r="AI88" s="29" t="s">
        <v>1684</v>
      </c>
      <c r="AJ88" s="29" t="s">
        <v>1003</v>
      </c>
      <c r="AK88" s="29" t="s">
        <v>1684</v>
      </c>
      <c r="AN88" s="23" t="s">
        <v>1685</v>
      </c>
      <c r="AO88" s="31" t="n">
        <v>567296</v>
      </c>
      <c r="AP88" s="32"/>
    </row>
    <row r="89" customFormat="false" ht="15" hidden="false" customHeight="false" outlineLevel="0" collapsed="false">
      <c r="O89" s="28"/>
      <c r="P89" s="28"/>
      <c r="AH89" s="31" t="s">
        <v>1686</v>
      </c>
      <c r="AI89" s="29" t="s">
        <v>1687</v>
      </c>
      <c r="AJ89" s="29" t="s">
        <v>1003</v>
      </c>
      <c r="AK89" s="29" t="s">
        <v>1687</v>
      </c>
      <c r="AN89" s="23" t="s">
        <v>1688</v>
      </c>
      <c r="AO89" s="31" t="n">
        <v>567262</v>
      </c>
      <c r="AP89" s="32"/>
    </row>
    <row r="90" customFormat="false" ht="15" hidden="false" customHeight="false" outlineLevel="0" collapsed="false">
      <c r="O90" s="28"/>
      <c r="P90" s="28"/>
      <c r="AH90" s="31" t="s">
        <v>1689</v>
      </c>
      <c r="AI90" s="29" t="s">
        <v>1690</v>
      </c>
      <c r="AJ90" s="29" t="s">
        <v>1003</v>
      </c>
      <c r="AK90" s="29" t="s">
        <v>1690</v>
      </c>
      <c r="AN90" s="23" t="s">
        <v>1691</v>
      </c>
      <c r="AO90" s="31" t="n">
        <v>486268</v>
      </c>
      <c r="AP90" s="32"/>
    </row>
    <row r="91" customFormat="false" ht="15" hidden="false" customHeight="false" outlineLevel="0" collapsed="false">
      <c r="O91" s="28"/>
      <c r="P91" s="28"/>
      <c r="AH91" s="31" t="s">
        <v>1656</v>
      </c>
      <c r="AI91" s="29" t="s">
        <v>1692</v>
      </c>
      <c r="AJ91" s="29" t="s">
        <v>1003</v>
      </c>
      <c r="AK91" s="29" t="s">
        <v>1692</v>
      </c>
      <c r="AN91" s="23" t="s">
        <v>1693</v>
      </c>
      <c r="AO91" s="31" t="n">
        <v>609627</v>
      </c>
      <c r="AP91" s="32"/>
    </row>
    <row r="92" customFormat="false" ht="15" hidden="false" customHeight="false" outlineLevel="0" collapsed="false">
      <c r="O92" s="28"/>
      <c r="P92" s="28"/>
      <c r="AH92" s="31" t="s">
        <v>1694</v>
      </c>
      <c r="AI92" s="29" t="s">
        <v>1695</v>
      </c>
      <c r="AJ92" s="29" t="s">
        <v>1003</v>
      </c>
      <c r="AK92" s="29" t="s">
        <v>1695</v>
      </c>
      <c r="AN92" s="23" t="s">
        <v>1696</v>
      </c>
      <c r="AO92" s="31" t="n">
        <v>96263</v>
      </c>
      <c r="AP92" s="32"/>
    </row>
    <row r="93" customFormat="false" ht="15" hidden="false" customHeight="false" outlineLevel="0" collapsed="false">
      <c r="O93" s="28"/>
      <c r="P93" s="28"/>
      <c r="AH93" s="31" t="s">
        <v>1697</v>
      </c>
      <c r="AI93" s="29" t="s">
        <v>1698</v>
      </c>
      <c r="AJ93" s="29" t="s">
        <v>1003</v>
      </c>
      <c r="AK93" s="29" t="s">
        <v>1698</v>
      </c>
      <c r="AN93" s="23" t="s">
        <v>1699</v>
      </c>
      <c r="AO93" s="31" t="n">
        <v>608360</v>
      </c>
      <c r="AP93" s="32"/>
    </row>
    <row r="94" customFormat="false" ht="15" hidden="false" customHeight="false" outlineLevel="0" collapsed="false">
      <c r="O94" s="28"/>
      <c r="P94" s="28"/>
      <c r="AH94" s="31" t="s">
        <v>1700</v>
      </c>
      <c r="AI94" s="29" t="s">
        <v>1701</v>
      </c>
      <c r="AJ94" s="29" t="s">
        <v>1003</v>
      </c>
      <c r="AK94" s="29" t="s">
        <v>1701</v>
      </c>
      <c r="AN94" s="23" t="s">
        <v>1702</v>
      </c>
      <c r="AO94" s="31" t="n">
        <v>544655</v>
      </c>
      <c r="AP94" s="32"/>
    </row>
    <row r="95" customFormat="false" ht="15" hidden="false" customHeight="false" outlineLevel="0" collapsed="false">
      <c r="O95" s="28"/>
      <c r="P95" s="28"/>
      <c r="AH95" s="31" t="s">
        <v>1703</v>
      </c>
      <c r="AI95" s="29" t="s">
        <v>1704</v>
      </c>
      <c r="AJ95" s="29" t="s">
        <v>1003</v>
      </c>
      <c r="AK95" s="29" t="s">
        <v>1704</v>
      </c>
      <c r="AN95" s="23" t="s">
        <v>1705</v>
      </c>
      <c r="AO95" s="31" t="n">
        <v>566355</v>
      </c>
      <c r="AP95" s="32"/>
    </row>
    <row r="96" customFormat="false" ht="15" hidden="false" customHeight="false" outlineLevel="0" collapsed="false">
      <c r="O96" s="28"/>
      <c r="P96" s="28"/>
      <c r="AH96" s="31" t="s">
        <v>1706</v>
      </c>
      <c r="AI96" s="29" t="s">
        <v>1707</v>
      </c>
      <c r="AJ96" s="29" t="s">
        <v>1003</v>
      </c>
      <c r="AK96" s="29" t="s">
        <v>1707</v>
      </c>
      <c r="AN96" s="23" t="s">
        <v>1708</v>
      </c>
      <c r="AO96" s="31" t="n">
        <v>608829</v>
      </c>
      <c r="AP96" s="32"/>
    </row>
    <row r="97" customFormat="false" ht="15" hidden="false" customHeight="false" outlineLevel="0" collapsed="false">
      <c r="O97" s="28"/>
      <c r="P97" s="28"/>
      <c r="AH97" s="31" t="s">
        <v>1656</v>
      </c>
      <c r="AI97" s="29" t="s">
        <v>1709</v>
      </c>
      <c r="AJ97" s="29" t="s">
        <v>1003</v>
      </c>
      <c r="AK97" s="29" t="s">
        <v>1709</v>
      </c>
      <c r="AN97" s="23" t="s">
        <v>1710</v>
      </c>
      <c r="AO97" s="31" t="n">
        <v>609097</v>
      </c>
      <c r="AP97" s="32"/>
    </row>
    <row r="98" customFormat="false" ht="15" hidden="false" customHeight="false" outlineLevel="0" collapsed="false">
      <c r="O98" s="28"/>
      <c r="P98" s="28"/>
      <c r="AH98" s="31" t="s">
        <v>1711</v>
      </c>
      <c r="AI98" s="29" t="s">
        <v>1712</v>
      </c>
      <c r="AJ98" s="29" t="s">
        <v>1003</v>
      </c>
      <c r="AK98" s="29" t="s">
        <v>1712</v>
      </c>
      <c r="AN98" s="23" t="s">
        <v>1713</v>
      </c>
      <c r="AO98" s="31" t="n">
        <v>606846</v>
      </c>
      <c r="AP98" s="32"/>
    </row>
    <row r="99" customFormat="false" ht="15" hidden="false" customHeight="false" outlineLevel="0" collapsed="false">
      <c r="O99" s="28"/>
      <c r="P99" s="28"/>
      <c r="AH99" s="31" t="s">
        <v>1714</v>
      </c>
      <c r="AI99" s="29" t="s">
        <v>1715</v>
      </c>
      <c r="AJ99" s="29" t="s">
        <v>1003</v>
      </c>
      <c r="AK99" s="29" t="s">
        <v>1715</v>
      </c>
      <c r="AN99" s="23" t="s">
        <v>1716</v>
      </c>
      <c r="AO99" s="31" t="n">
        <v>616312</v>
      </c>
      <c r="AP99" s="32"/>
    </row>
    <row r="100" customFormat="false" ht="15" hidden="false" customHeight="false" outlineLevel="0" collapsed="false">
      <c r="O100" s="28"/>
      <c r="P100" s="28"/>
      <c r="AH100" s="31" t="s">
        <v>1717</v>
      </c>
      <c r="AI100" s="29" t="s">
        <v>1718</v>
      </c>
      <c r="AJ100" s="29" t="s">
        <v>1003</v>
      </c>
      <c r="AK100" s="29" t="s">
        <v>1718</v>
      </c>
      <c r="AN100" s="23" t="s">
        <v>1719</v>
      </c>
      <c r="AO100" s="31" t="n">
        <v>255</v>
      </c>
      <c r="AP100" s="32"/>
    </row>
    <row r="101" customFormat="false" ht="15" hidden="false" customHeight="false" outlineLevel="0" collapsed="false">
      <c r="O101" s="28"/>
      <c r="P101" s="28"/>
      <c r="AH101" s="31" t="s">
        <v>1720</v>
      </c>
      <c r="AI101" s="29" t="s">
        <v>1721</v>
      </c>
      <c r="AJ101" s="29" t="s">
        <v>1003</v>
      </c>
      <c r="AK101" s="29" t="s">
        <v>1721</v>
      </c>
      <c r="AN101" s="23" t="s">
        <v>1722</v>
      </c>
      <c r="AO101" s="31" t="n">
        <v>96262</v>
      </c>
      <c r="AP101" s="32"/>
    </row>
    <row r="102" customFormat="false" ht="15" hidden="false" customHeight="false" outlineLevel="0" collapsed="false">
      <c r="O102" s="28"/>
      <c r="P102" s="28"/>
      <c r="AH102" s="31" t="s">
        <v>1723</v>
      </c>
      <c r="AI102" s="29" t="s">
        <v>1724</v>
      </c>
      <c r="AJ102" s="29" t="s">
        <v>1003</v>
      </c>
      <c r="AK102" s="29" t="s">
        <v>1724</v>
      </c>
      <c r="AN102" s="23" t="s">
        <v>1722</v>
      </c>
      <c r="AO102" s="31" t="n">
        <v>305</v>
      </c>
      <c r="AP102" s="32"/>
    </row>
    <row r="103" customFormat="false" ht="15" hidden="false" customHeight="false" outlineLevel="0" collapsed="false">
      <c r="O103" s="28"/>
      <c r="P103" s="28"/>
      <c r="AH103" s="31" t="s">
        <v>1725</v>
      </c>
      <c r="AI103" s="29" t="s">
        <v>1726</v>
      </c>
      <c r="AJ103" s="29" t="s">
        <v>1003</v>
      </c>
      <c r="AK103" s="29" t="s">
        <v>1726</v>
      </c>
      <c r="AN103" s="23" t="s">
        <v>1727</v>
      </c>
      <c r="AO103" s="31" t="n">
        <v>616917</v>
      </c>
      <c r="AP103" s="32"/>
    </row>
    <row r="104" customFormat="false" ht="15" hidden="false" customHeight="false" outlineLevel="0" collapsed="false">
      <c r="O104" s="28"/>
      <c r="P104" s="28"/>
      <c r="AH104" s="31" t="s">
        <v>1728</v>
      </c>
      <c r="AI104" s="29" t="s">
        <v>1729</v>
      </c>
      <c r="AJ104" s="29" t="s">
        <v>1003</v>
      </c>
      <c r="AK104" s="29" t="s">
        <v>1729</v>
      </c>
      <c r="AN104" s="23" t="s">
        <v>1730</v>
      </c>
      <c r="AO104" s="31" t="n">
        <v>582183</v>
      </c>
      <c r="AP104" s="32"/>
    </row>
    <row r="105" customFormat="false" ht="15" hidden="false" customHeight="false" outlineLevel="0" collapsed="false">
      <c r="O105" s="28"/>
      <c r="P105" s="28"/>
      <c r="AH105" s="31" t="s">
        <v>1731</v>
      </c>
      <c r="AI105" s="29" t="s">
        <v>1732</v>
      </c>
      <c r="AJ105" s="29" t="s">
        <v>1003</v>
      </c>
      <c r="AK105" s="29" t="s">
        <v>1732</v>
      </c>
      <c r="AN105" s="23" t="s">
        <v>1733</v>
      </c>
      <c r="AO105" s="31" t="n">
        <v>617121</v>
      </c>
      <c r="AP105" s="32"/>
    </row>
    <row r="106" customFormat="false" ht="15" hidden="false" customHeight="false" outlineLevel="0" collapsed="false">
      <c r="O106" s="28"/>
      <c r="P106" s="28"/>
      <c r="AH106" s="31" t="s">
        <v>1734</v>
      </c>
      <c r="AI106" s="29" t="s">
        <v>1735</v>
      </c>
      <c r="AJ106" s="29" t="s">
        <v>1003</v>
      </c>
      <c r="AK106" s="29" t="s">
        <v>1735</v>
      </c>
      <c r="AN106" s="23" t="s">
        <v>1736</v>
      </c>
      <c r="AO106" s="31" t="n">
        <v>607991</v>
      </c>
      <c r="AP106" s="32"/>
    </row>
    <row r="107" customFormat="false" ht="15" hidden="false" customHeight="false" outlineLevel="0" collapsed="false">
      <c r="O107" s="28"/>
      <c r="P107" s="28"/>
      <c r="AH107" s="31" t="s">
        <v>1737</v>
      </c>
      <c r="AI107" s="29" t="s">
        <v>1738</v>
      </c>
      <c r="AJ107" s="29" t="s">
        <v>1003</v>
      </c>
      <c r="AK107" s="29" t="s">
        <v>1738</v>
      </c>
      <c r="AN107" s="23" t="s">
        <v>1739</v>
      </c>
      <c r="AO107" s="31" t="n">
        <v>569914</v>
      </c>
      <c r="AP107" s="32"/>
    </row>
    <row r="108" customFormat="false" ht="15" hidden="false" customHeight="false" outlineLevel="0" collapsed="false">
      <c r="O108" s="28"/>
      <c r="P108" s="28"/>
      <c r="AH108" s="31" t="s">
        <v>1740</v>
      </c>
      <c r="AI108" s="29" t="s">
        <v>1741</v>
      </c>
      <c r="AJ108" s="29" t="s">
        <v>1003</v>
      </c>
      <c r="AK108" s="29" t="s">
        <v>1741</v>
      </c>
      <c r="AN108" s="23" t="s">
        <v>1742</v>
      </c>
      <c r="AO108" s="31" t="n">
        <v>569915</v>
      </c>
      <c r="AP108" s="32"/>
    </row>
    <row r="109" customFormat="false" ht="15" hidden="false" customHeight="false" outlineLevel="0" collapsed="false">
      <c r="O109" s="28"/>
      <c r="P109" s="28"/>
      <c r="AH109" s="31" t="s">
        <v>1743</v>
      </c>
      <c r="AI109" s="29" t="s">
        <v>1744</v>
      </c>
      <c r="AJ109" s="29" t="s">
        <v>1003</v>
      </c>
      <c r="AK109" s="29" t="s">
        <v>1744</v>
      </c>
      <c r="AN109" s="23" t="s">
        <v>1745</v>
      </c>
      <c r="AO109" s="31" t="n">
        <v>607992</v>
      </c>
      <c r="AP109" s="32"/>
    </row>
    <row r="110" customFormat="false" ht="15" hidden="false" customHeight="false" outlineLevel="0" collapsed="false">
      <c r="O110" s="28"/>
      <c r="P110" s="28"/>
      <c r="AH110" s="31" t="s">
        <v>1746</v>
      </c>
      <c r="AI110" s="29" t="s">
        <v>1747</v>
      </c>
      <c r="AJ110" s="29" t="s">
        <v>1003</v>
      </c>
      <c r="AK110" s="29" t="s">
        <v>1747</v>
      </c>
      <c r="AN110" s="23" t="s">
        <v>1748</v>
      </c>
      <c r="AO110" s="31" t="n">
        <v>569913</v>
      </c>
      <c r="AP110" s="32"/>
    </row>
    <row r="111" customFormat="false" ht="15" hidden="false" customHeight="false" outlineLevel="0" collapsed="false">
      <c r="O111" s="28"/>
      <c r="P111" s="28"/>
      <c r="AH111" s="31" t="s">
        <v>1749</v>
      </c>
      <c r="AI111" s="29" t="s">
        <v>1750</v>
      </c>
      <c r="AJ111" s="29" t="s">
        <v>1003</v>
      </c>
      <c r="AK111" s="29" t="s">
        <v>1750</v>
      </c>
      <c r="AN111" s="23" t="s">
        <v>1751</v>
      </c>
      <c r="AO111" s="31" t="n">
        <v>563882</v>
      </c>
      <c r="AP111" s="32"/>
    </row>
    <row r="112" customFormat="false" ht="15" hidden="false" customHeight="false" outlineLevel="0" collapsed="false">
      <c r="O112" s="28"/>
      <c r="P112" s="28"/>
      <c r="AH112" s="31" t="s">
        <v>1752</v>
      </c>
      <c r="AI112" s="29" t="s">
        <v>1753</v>
      </c>
      <c r="AJ112" s="29" t="s">
        <v>1003</v>
      </c>
      <c r="AK112" s="29" t="s">
        <v>1753</v>
      </c>
      <c r="AN112" s="23" t="s">
        <v>1754</v>
      </c>
      <c r="AO112" s="31" t="n">
        <v>617850</v>
      </c>
      <c r="AP112" s="32"/>
    </row>
    <row r="113" customFormat="false" ht="15" hidden="false" customHeight="false" outlineLevel="0" collapsed="false">
      <c r="O113" s="28"/>
      <c r="P113" s="28"/>
      <c r="AH113" s="31" t="s">
        <v>1755</v>
      </c>
      <c r="AI113" s="29" t="s">
        <v>1756</v>
      </c>
      <c r="AJ113" s="29" t="s">
        <v>1003</v>
      </c>
      <c r="AK113" s="29" t="s">
        <v>1756</v>
      </c>
      <c r="AN113" s="23" t="s">
        <v>1757</v>
      </c>
      <c r="AO113" s="31" t="n">
        <v>567717</v>
      </c>
      <c r="AP113" s="32"/>
    </row>
    <row r="114" customFormat="false" ht="15" hidden="false" customHeight="false" outlineLevel="0" collapsed="false">
      <c r="O114" s="28"/>
      <c r="P114" s="28"/>
      <c r="AH114" s="31" t="s">
        <v>1758</v>
      </c>
      <c r="AI114" s="29" t="s">
        <v>1759</v>
      </c>
      <c r="AJ114" s="29" t="s">
        <v>1003</v>
      </c>
      <c r="AK114" s="29" t="s">
        <v>1759</v>
      </c>
      <c r="AN114" s="23" t="s">
        <v>1760</v>
      </c>
      <c r="AO114" s="31" t="n">
        <v>567716</v>
      </c>
      <c r="AP114" s="32"/>
    </row>
    <row r="115" customFormat="false" ht="15" hidden="false" customHeight="false" outlineLevel="0" collapsed="false">
      <c r="O115" s="28"/>
      <c r="P115" s="28"/>
      <c r="AH115" s="31" t="s">
        <v>1761</v>
      </c>
      <c r="AI115" s="29" t="s">
        <v>1762</v>
      </c>
      <c r="AJ115" s="29" t="s">
        <v>1003</v>
      </c>
      <c r="AK115" s="29" t="s">
        <v>1762</v>
      </c>
      <c r="AN115" s="23" t="s">
        <v>1763</v>
      </c>
      <c r="AO115" s="31" t="n">
        <v>567715</v>
      </c>
      <c r="AP115" s="32"/>
    </row>
    <row r="116" customFormat="false" ht="15" hidden="false" customHeight="false" outlineLevel="0" collapsed="false">
      <c r="O116" s="28"/>
      <c r="P116" s="28"/>
      <c r="AH116" s="31" t="s">
        <v>1764</v>
      </c>
      <c r="AI116" s="29" t="s">
        <v>1765</v>
      </c>
      <c r="AJ116" s="29" t="s">
        <v>1003</v>
      </c>
      <c r="AK116" s="29" t="s">
        <v>1765</v>
      </c>
      <c r="AN116" s="23" t="s">
        <v>1766</v>
      </c>
      <c r="AO116" s="31" t="n">
        <v>567911</v>
      </c>
      <c r="AP116" s="32"/>
    </row>
    <row r="117" customFormat="false" ht="15" hidden="false" customHeight="false" outlineLevel="0" collapsed="false">
      <c r="O117" s="28"/>
      <c r="P117" s="28"/>
      <c r="AH117" s="31" t="s">
        <v>1767</v>
      </c>
      <c r="AI117" s="29" t="s">
        <v>1768</v>
      </c>
      <c r="AJ117" s="29" t="s">
        <v>1003</v>
      </c>
      <c r="AK117" s="29" t="s">
        <v>1768</v>
      </c>
      <c r="AN117" s="23" t="s">
        <v>1769</v>
      </c>
      <c r="AO117" s="31" t="n">
        <v>555615</v>
      </c>
      <c r="AP117" s="32"/>
    </row>
    <row r="118" customFormat="false" ht="15" hidden="false" customHeight="false" outlineLevel="0" collapsed="false">
      <c r="O118" s="28"/>
      <c r="P118" s="28"/>
      <c r="AH118" s="31" t="s">
        <v>1770</v>
      </c>
      <c r="AI118" s="29" t="s">
        <v>1771</v>
      </c>
      <c r="AJ118" s="29" t="s">
        <v>1003</v>
      </c>
      <c r="AK118" s="29" t="s">
        <v>1771</v>
      </c>
      <c r="AN118" s="23" t="s">
        <v>1772</v>
      </c>
      <c r="AO118" s="31" t="n">
        <v>555616</v>
      </c>
      <c r="AP118" s="32"/>
    </row>
    <row r="119" customFormat="false" ht="15" hidden="false" customHeight="false" outlineLevel="0" collapsed="false">
      <c r="O119" s="28"/>
      <c r="P119" s="28"/>
      <c r="AH119" s="31" t="s">
        <v>1773</v>
      </c>
      <c r="AI119" s="29" t="s">
        <v>1774</v>
      </c>
      <c r="AJ119" s="29" t="s">
        <v>1003</v>
      </c>
      <c r="AK119" s="29" t="s">
        <v>1774</v>
      </c>
      <c r="AN119" s="23" t="s">
        <v>1775</v>
      </c>
      <c r="AO119" s="31" t="n">
        <v>608017</v>
      </c>
      <c r="AP119" s="32"/>
    </row>
    <row r="120" customFormat="false" ht="15" hidden="false" customHeight="false" outlineLevel="0" collapsed="false">
      <c r="O120" s="28"/>
      <c r="P120" s="28"/>
      <c r="AH120" s="31" t="s">
        <v>1776</v>
      </c>
      <c r="AI120" s="29" t="s">
        <v>1777</v>
      </c>
      <c r="AJ120" s="29" t="s">
        <v>1003</v>
      </c>
      <c r="AK120" s="29" t="s">
        <v>1777</v>
      </c>
      <c r="AN120" s="23" t="s">
        <v>1778</v>
      </c>
      <c r="AO120" s="31" t="n">
        <v>566374</v>
      </c>
      <c r="AP120" s="32"/>
    </row>
    <row r="121" customFormat="false" ht="15" hidden="false" customHeight="false" outlineLevel="0" collapsed="false">
      <c r="O121" s="28"/>
      <c r="P121" s="28"/>
      <c r="AH121" s="31" t="s">
        <v>1779</v>
      </c>
      <c r="AI121" s="29" t="s">
        <v>1780</v>
      </c>
      <c r="AJ121" s="29" t="s">
        <v>1003</v>
      </c>
      <c r="AK121" s="29" t="s">
        <v>1780</v>
      </c>
      <c r="AN121" s="23" t="s">
        <v>1781</v>
      </c>
      <c r="AO121" s="31" t="n">
        <v>572575</v>
      </c>
      <c r="AP121" s="32"/>
    </row>
    <row r="122" customFormat="false" ht="15" hidden="false" customHeight="false" outlineLevel="0" collapsed="false">
      <c r="O122" s="28"/>
      <c r="P122" s="28"/>
      <c r="AH122" s="31" t="s">
        <v>1782</v>
      </c>
      <c r="AI122" s="29" t="s">
        <v>1783</v>
      </c>
      <c r="AJ122" s="29" t="s">
        <v>1003</v>
      </c>
      <c r="AK122" s="29" t="s">
        <v>1783</v>
      </c>
      <c r="AN122" s="23" t="s">
        <v>1784</v>
      </c>
      <c r="AO122" s="31" t="n">
        <v>553483</v>
      </c>
      <c r="AP122" s="32"/>
    </row>
    <row r="123" customFormat="false" ht="15" hidden="false" customHeight="false" outlineLevel="0" collapsed="false">
      <c r="O123" s="28"/>
      <c r="P123" s="28"/>
      <c r="AH123" s="31" t="s">
        <v>1785</v>
      </c>
      <c r="AI123" s="29" t="s">
        <v>1786</v>
      </c>
      <c r="AJ123" s="29" t="s">
        <v>1003</v>
      </c>
      <c r="AK123" s="29" t="s">
        <v>1786</v>
      </c>
      <c r="AN123" s="23" t="s">
        <v>1787</v>
      </c>
      <c r="AO123" s="31" t="n">
        <v>564506</v>
      </c>
      <c r="AP123" s="32"/>
    </row>
    <row r="124" customFormat="false" ht="15" hidden="false" customHeight="false" outlineLevel="0" collapsed="false">
      <c r="O124" s="28"/>
      <c r="P124" s="28"/>
      <c r="AH124" s="31" t="s">
        <v>1788</v>
      </c>
      <c r="AI124" s="29" t="s">
        <v>1789</v>
      </c>
      <c r="AJ124" s="29" t="s">
        <v>1003</v>
      </c>
      <c r="AK124" s="29" t="s">
        <v>1789</v>
      </c>
      <c r="AN124" s="23" t="s">
        <v>1790</v>
      </c>
      <c r="AO124" s="31" t="n">
        <v>480396</v>
      </c>
      <c r="AP124" s="32"/>
    </row>
    <row r="125" customFormat="false" ht="15" hidden="false" customHeight="false" outlineLevel="0" collapsed="false">
      <c r="O125" s="28"/>
      <c r="P125" s="28"/>
      <c r="AH125" s="31" t="s">
        <v>1791</v>
      </c>
      <c r="AI125" s="29" t="s">
        <v>1792</v>
      </c>
      <c r="AJ125" s="29" t="s">
        <v>1003</v>
      </c>
      <c r="AK125" s="29" t="s">
        <v>1792</v>
      </c>
      <c r="AN125" s="23" t="s">
        <v>1793</v>
      </c>
      <c r="AO125" s="31" t="n">
        <v>571282</v>
      </c>
      <c r="AP125" s="32"/>
    </row>
    <row r="126" customFormat="false" ht="15" hidden="false" customHeight="false" outlineLevel="0" collapsed="false">
      <c r="O126" s="28"/>
      <c r="P126" s="28"/>
      <c r="AH126" s="31" t="s">
        <v>1794</v>
      </c>
      <c r="AI126" s="29" t="s">
        <v>1795</v>
      </c>
      <c r="AJ126" s="29" t="s">
        <v>1003</v>
      </c>
      <c r="AK126" s="29" t="s">
        <v>1795</v>
      </c>
      <c r="AN126" s="23" t="s">
        <v>1796</v>
      </c>
      <c r="AO126" s="31" t="n">
        <v>567626</v>
      </c>
      <c r="AP126" s="32"/>
    </row>
    <row r="127" customFormat="false" ht="15" hidden="false" customHeight="false" outlineLevel="0" collapsed="false">
      <c r="O127" s="28"/>
      <c r="P127" s="28"/>
      <c r="AH127" s="31" t="s">
        <v>1797</v>
      </c>
      <c r="AI127" s="29" t="s">
        <v>1798</v>
      </c>
      <c r="AJ127" s="29" t="s">
        <v>1003</v>
      </c>
      <c r="AK127" s="29" t="s">
        <v>1798</v>
      </c>
      <c r="AN127" s="23" t="s">
        <v>1799</v>
      </c>
      <c r="AO127" s="31" t="n">
        <v>564638</v>
      </c>
      <c r="AP127" s="32"/>
    </row>
    <row r="128" customFormat="false" ht="15" hidden="false" customHeight="false" outlineLevel="0" collapsed="false">
      <c r="O128" s="28"/>
      <c r="P128" s="28"/>
      <c r="AH128" s="31" t="s">
        <v>1800</v>
      </c>
      <c r="AI128" s="29" t="s">
        <v>1801</v>
      </c>
      <c r="AJ128" s="29" t="s">
        <v>1003</v>
      </c>
      <c r="AK128" s="29" t="s">
        <v>1801</v>
      </c>
      <c r="AN128" s="23" t="s">
        <v>1802</v>
      </c>
      <c r="AO128" s="31" t="n">
        <v>607556</v>
      </c>
      <c r="AP128" s="32"/>
    </row>
    <row r="129" customFormat="false" ht="15" hidden="false" customHeight="false" outlineLevel="0" collapsed="false">
      <c r="O129" s="28"/>
      <c r="P129" s="28"/>
      <c r="AN129" s="23" t="s">
        <v>1803</v>
      </c>
      <c r="AO129" s="31" t="n">
        <v>566664</v>
      </c>
      <c r="AP129" s="32"/>
    </row>
    <row r="130" customFormat="false" ht="15" hidden="false" customHeight="false" outlineLevel="0" collapsed="false">
      <c r="O130" s="28"/>
      <c r="P130" s="28"/>
      <c r="AN130" s="23" t="s">
        <v>1804</v>
      </c>
      <c r="AO130" s="31" t="n">
        <v>500724</v>
      </c>
      <c r="AP130" s="32"/>
    </row>
    <row r="131" customFormat="false" ht="15" hidden="false" customHeight="false" outlineLevel="0" collapsed="false">
      <c r="O131" s="28"/>
      <c r="P131" s="28"/>
      <c r="AN131" s="23" t="s">
        <v>1805</v>
      </c>
      <c r="AO131" s="31" t="n">
        <v>564972</v>
      </c>
      <c r="AP131" s="32"/>
    </row>
    <row r="132" customFormat="false" ht="15" hidden="false" customHeight="false" outlineLevel="0" collapsed="false">
      <c r="O132" s="28"/>
      <c r="P132" s="28"/>
      <c r="AN132" s="23" t="s">
        <v>1806</v>
      </c>
      <c r="AO132" s="31" t="n">
        <v>566991</v>
      </c>
      <c r="AP132" s="32"/>
    </row>
    <row r="133" customFormat="false" ht="15" hidden="false" customHeight="false" outlineLevel="0" collapsed="false">
      <c r="O133" s="28"/>
      <c r="P133" s="28"/>
      <c r="AN133" s="23" t="s">
        <v>1807</v>
      </c>
      <c r="AO133" s="31" t="n">
        <v>567901</v>
      </c>
      <c r="AP133" s="32"/>
    </row>
    <row r="134" customFormat="false" ht="15" hidden="false" customHeight="false" outlineLevel="0" collapsed="false">
      <c r="O134" s="28"/>
      <c r="P134" s="28"/>
      <c r="AN134" s="23" t="s">
        <v>1808</v>
      </c>
      <c r="AO134" s="31" t="n">
        <v>568019</v>
      </c>
      <c r="AP134" s="32"/>
    </row>
    <row r="135" customFormat="false" ht="15" hidden="false" customHeight="false" outlineLevel="0" collapsed="false">
      <c r="O135" s="28"/>
      <c r="P135" s="28"/>
      <c r="AN135" s="23" t="s">
        <v>1809</v>
      </c>
      <c r="AO135" s="31" t="n">
        <v>611794</v>
      </c>
      <c r="AP135" s="32"/>
    </row>
    <row r="136" customFormat="false" ht="15" hidden="false" customHeight="false" outlineLevel="0" collapsed="false">
      <c r="O136" s="28"/>
      <c r="P136" s="28"/>
      <c r="AN136" s="23" t="s">
        <v>1810</v>
      </c>
      <c r="AO136" s="31" t="n">
        <v>608702</v>
      </c>
      <c r="AP136" s="32"/>
    </row>
    <row r="137" customFormat="false" ht="15" hidden="false" customHeight="false" outlineLevel="0" collapsed="false">
      <c r="O137" s="28"/>
      <c r="P137" s="28"/>
      <c r="AN137" s="23" t="s">
        <v>1811</v>
      </c>
      <c r="AO137" s="31" t="n">
        <v>480415</v>
      </c>
      <c r="AP137" s="32"/>
    </row>
    <row r="138" customFormat="false" ht="15" hidden="false" customHeight="false" outlineLevel="0" collapsed="false">
      <c r="O138" s="28"/>
      <c r="P138" s="28"/>
      <c r="AN138" s="23" t="s">
        <v>1812</v>
      </c>
      <c r="AO138" s="31" t="n">
        <v>607313</v>
      </c>
      <c r="AP138" s="32"/>
    </row>
    <row r="139" customFormat="false" ht="15" hidden="false" customHeight="false" outlineLevel="0" collapsed="false">
      <c r="O139" s="28"/>
      <c r="P139" s="28"/>
      <c r="AN139" s="23" t="s">
        <v>1813</v>
      </c>
      <c r="AO139" s="31" t="n">
        <v>273</v>
      </c>
      <c r="AP139" s="32"/>
    </row>
    <row r="140" customFormat="false" ht="15" hidden="false" customHeight="false" outlineLevel="0" collapsed="false">
      <c r="O140" s="28"/>
      <c r="P140" s="28"/>
      <c r="AN140" s="23" t="s">
        <v>1814</v>
      </c>
      <c r="AO140" s="31" t="n">
        <v>555617</v>
      </c>
      <c r="AP140" s="32"/>
    </row>
    <row r="141" customFormat="false" ht="15" hidden="false" customHeight="false" outlineLevel="0" collapsed="false">
      <c r="O141" s="28"/>
      <c r="P141" s="28"/>
      <c r="AN141" s="23" t="s">
        <v>1815</v>
      </c>
      <c r="AO141" s="31" t="n">
        <v>232</v>
      </c>
      <c r="AP141" s="32"/>
    </row>
    <row r="142" customFormat="false" ht="15" hidden="false" customHeight="false" outlineLevel="0" collapsed="false">
      <c r="O142" s="28"/>
      <c r="P142" s="28"/>
      <c r="AN142" s="23" t="s">
        <v>1816</v>
      </c>
      <c r="AO142" s="31" t="n">
        <v>566479</v>
      </c>
      <c r="AP142" s="32"/>
    </row>
    <row r="143" customFormat="false" ht="15" hidden="false" customHeight="false" outlineLevel="0" collapsed="false">
      <c r="O143" s="28"/>
      <c r="P143" s="28"/>
      <c r="AN143" s="23" t="s">
        <v>1817</v>
      </c>
      <c r="AO143" s="31" t="n">
        <v>608085</v>
      </c>
      <c r="AP143" s="32"/>
    </row>
    <row r="144" customFormat="false" ht="15" hidden="false" customHeight="false" outlineLevel="0" collapsed="false">
      <c r="O144" s="28"/>
      <c r="P144" s="28"/>
      <c r="AN144" s="23" t="s">
        <v>1818</v>
      </c>
      <c r="AO144" s="31" t="n">
        <v>572296</v>
      </c>
      <c r="AP144" s="32"/>
    </row>
    <row r="145" customFormat="false" ht="15" hidden="false" customHeight="false" outlineLevel="0" collapsed="false">
      <c r="O145" s="28"/>
      <c r="P145" s="28"/>
      <c r="AN145" s="23" t="s">
        <v>1819</v>
      </c>
      <c r="AO145" s="31" t="n">
        <v>617683</v>
      </c>
      <c r="AP145" s="32"/>
    </row>
    <row r="146" customFormat="false" ht="15" hidden="false" customHeight="false" outlineLevel="0" collapsed="false">
      <c r="O146" s="28"/>
      <c r="P146" s="28"/>
      <c r="AN146" s="23" t="s">
        <v>1820</v>
      </c>
      <c r="AO146" s="31" t="n">
        <v>556762</v>
      </c>
      <c r="AP146" s="32"/>
    </row>
    <row r="147" customFormat="false" ht="15" hidden="false" customHeight="false" outlineLevel="0" collapsed="false">
      <c r="O147" s="28"/>
      <c r="P147" s="28"/>
      <c r="AN147" s="23" t="s">
        <v>1821</v>
      </c>
      <c r="AO147" s="31" t="n">
        <v>607888</v>
      </c>
      <c r="AP147" s="32"/>
    </row>
    <row r="148" customFormat="false" ht="15" hidden="false" customHeight="false" outlineLevel="0" collapsed="false">
      <c r="O148" s="28"/>
      <c r="P148" s="28"/>
      <c r="AN148" s="23" t="s">
        <v>1822</v>
      </c>
      <c r="AO148" s="31" t="n">
        <v>556752</v>
      </c>
      <c r="AP148" s="32"/>
    </row>
    <row r="149" customFormat="false" ht="15" hidden="false" customHeight="false" outlineLevel="0" collapsed="false">
      <c r="O149" s="28"/>
      <c r="P149" s="28"/>
      <c r="AN149" s="23" t="s">
        <v>1823</v>
      </c>
      <c r="AO149" s="31" t="n">
        <v>563888</v>
      </c>
      <c r="AP149" s="32"/>
    </row>
    <row r="150" customFormat="false" ht="15" hidden="false" customHeight="false" outlineLevel="0" collapsed="false">
      <c r="O150" s="28"/>
      <c r="P150" s="28"/>
      <c r="AN150" s="23" t="s">
        <v>1824</v>
      </c>
      <c r="AO150" s="31" t="n">
        <v>569361</v>
      </c>
      <c r="AP150" s="32"/>
    </row>
    <row r="151" customFormat="false" ht="15" hidden="false" customHeight="false" outlineLevel="0" collapsed="false">
      <c r="O151" s="28"/>
      <c r="P151" s="28"/>
      <c r="AN151" s="23" t="s">
        <v>1825</v>
      </c>
      <c r="AO151" s="31" t="n">
        <v>573013</v>
      </c>
      <c r="AP151" s="32"/>
    </row>
    <row r="152" customFormat="false" ht="15" hidden="false" customHeight="false" outlineLevel="0" collapsed="false">
      <c r="O152" s="28"/>
      <c r="P152" s="28"/>
      <c r="AN152" s="23" t="s">
        <v>1826</v>
      </c>
      <c r="AO152" s="31" t="n">
        <v>553496</v>
      </c>
      <c r="AP152" s="32"/>
    </row>
    <row r="153" customFormat="false" ht="15" hidden="false" customHeight="false" outlineLevel="0" collapsed="false">
      <c r="O153" s="28"/>
      <c r="P153" s="28"/>
      <c r="AN153" s="23" t="s">
        <v>1827</v>
      </c>
      <c r="AO153" s="31" t="n">
        <v>618342</v>
      </c>
      <c r="AP153" s="32"/>
    </row>
    <row r="154" customFormat="false" ht="15" hidden="false" customHeight="false" outlineLevel="0" collapsed="false">
      <c r="O154" s="28"/>
      <c r="P154" s="28"/>
      <c r="AN154" s="23" t="s">
        <v>1828</v>
      </c>
      <c r="AO154" s="31" t="n">
        <v>566587</v>
      </c>
      <c r="AP154" s="32"/>
    </row>
    <row r="155" customFormat="false" ht="15" hidden="false" customHeight="false" outlineLevel="0" collapsed="false">
      <c r="O155" s="28"/>
      <c r="P155" s="28"/>
      <c r="AN155" s="23" t="s">
        <v>1829</v>
      </c>
      <c r="AO155" s="31" t="n">
        <v>567349</v>
      </c>
      <c r="AP155" s="32"/>
    </row>
    <row r="156" customFormat="false" ht="15" hidden="false" customHeight="false" outlineLevel="0" collapsed="false">
      <c r="O156" s="28"/>
      <c r="P156" s="28"/>
      <c r="AN156" s="23" t="s">
        <v>1830</v>
      </c>
      <c r="AO156" s="31" t="n">
        <v>566421</v>
      </c>
      <c r="AP156" s="32"/>
    </row>
    <row r="157" customFormat="false" ht="15" hidden="false" customHeight="false" outlineLevel="0" collapsed="false">
      <c r="O157" s="28"/>
      <c r="P157" s="28"/>
      <c r="AN157" s="23" t="s">
        <v>1831</v>
      </c>
      <c r="AO157" s="31" t="n">
        <v>567689</v>
      </c>
      <c r="AP157" s="32"/>
    </row>
    <row r="158" customFormat="false" ht="15" hidden="false" customHeight="false" outlineLevel="0" collapsed="false">
      <c r="O158" s="28"/>
      <c r="P158" s="28"/>
      <c r="AN158" s="23" t="s">
        <v>1832</v>
      </c>
      <c r="AO158" s="31" t="n">
        <v>567472</v>
      </c>
      <c r="AP158" s="32"/>
    </row>
    <row r="159" customFormat="false" ht="15" hidden="false" customHeight="false" outlineLevel="0" collapsed="false">
      <c r="O159" s="28"/>
      <c r="P159" s="28"/>
      <c r="AN159" s="23" t="s">
        <v>1833</v>
      </c>
      <c r="AO159" s="31" t="n">
        <v>607661</v>
      </c>
      <c r="AP159" s="32"/>
    </row>
    <row r="160" customFormat="false" ht="15" hidden="false" customHeight="false" outlineLevel="0" collapsed="false">
      <c r="O160" s="28"/>
      <c r="P160" s="28"/>
      <c r="AN160" s="23" t="s">
        <v>1834</v>
      </c>
      <c r="AO160" s="31" t="n">
        <v>617044</v>
      </c>
      <c r="AP160" s="32"/>
    </row>
    <row r="161" customFormat="false" ht="15" hidden="false" customHeight="false" outlineLevel="0" collapsed="false">
      <c r="O161" s="28"/>
      <c r="P161" s="28"/>
      <c r="AN161" s="23" t="s">
        <v>1835</v>
      </c>
      <c r="AO161" s="31" t="n">
        <v>611395</v>
      </c>
      <c r="AP161" s="32"/>
    </row>
    <row r="162" customFormat="false" ht="15" hidden="false" customHeight="false" outlineLevel="0" collapsed="false">
      <c r="O162" s="28"/>
      <c r="P162" s="28"/>
      <c r="AN162" s="23" t="s">
        <v>1836</v>
      </c>
      <c r="AO162" s="31" t="n">
        <v>570018</v>
      </c>
      <c r="AP162" s="32"/>
    </row>
    <row r="163" customFormat="false" ht="15" hidden="false" customHeight="false" outlineLevel="0" collapsed="false">
      <c r="O163" s="28"/>
      <c r="P163" s="28"/>
      <c r="AN163" s="23" t="s">
        <v>1837</v>
      </c>
      <c r="AO163" s="31" t="n">
        <v>618486</v>
      </c>
      <c r="AP163" s="32"/>
    </row>
    <row r="164" customFormat="false" ht="15" hidden="false" customHeight="false" outlineLevel="0" collapsed="false">
      <c r="O164" s="28"/>
      <c r="P164" s="28"/>
      <c r="AN164" s="23" t="s">
        <v>1838</v>
      </c>
      <c r="AO164" s="31" t="n">
        <v>618479</v>
      </c>
      <c r="AP164" s="32"/>
    </row>
    <row r="165" customFormat="false" ht="15" hidden="false" customHeight="false" outlineLevel="0" collapsed="false">
      <c r="O165" s="28"/>
      <c r="P165" s="28"/>
      <c r="AN165" s="23" t="s">
        <v>1839</v>
      </c>
      <c r="AO165" s="31" t="n">
        <v>589406</v>
      </c>
      <c r="AP165" s="32"/>
    </row>
    <row r="166" customFormat="false" ht="15" hidden="false" customHeight="false" outlineLevel="0" collapsed="false">
      <c r="O166" s="28"/>
      <c r="P166" s="28"/>
      <c r="AN166" s="23" t="s">
        <v>1840</v>
      </c>
      <c r="AO166" s="31" t="n">
        <v>617135</v>
      </c>
      <c r="AP166" s="32"/>
    </row>
    <row r="167" customFormat="false" ht="15" hidden="false" customHeight="false" outlineLevel="0" collapsed="false">
      <c r="O167" s="28"/>
      <c r="P167" s="28"/>
      <c r="AN167" s="23" t="s">
        <v>1841</v>
      </c>
      <c r="AO167" s="31" t="n">
        <v>569444</v>
      </c>
      <c r="AP167" s="32"/>
    </row>
    <row r="168" customFormat="false" ht="15" hidden="false" customHeight="false" outlineLevel="0" collapsed="false">
      <c r="O168" s="28"/>
      <c r="P168" s="28"/>
      <c r="AN168" s="23" t="s">
        <v>1842</v>
      </c>
      <c r="AO168" s="31" t="n">
        <v>569911</v>
      </c>
      <c r="AP168" s="32"/>
    </row>
    <row r="169" customFormat="false" ht="15" hidden="false" customHeight="false" outlineLevel="0" collapsed="false">
      <c r="O169" s="28"/>
      <c r="P169" s="28"/>
      <c r="AN169" s="23" t="s">
        <v>1843</v>
      </c>
      <c r="AO169" s="31" t="n">
        <v>556498</v>
      </c>
      <c r="AP169" s="32"/>
    </row>
    <row r="170" customFormat="false" ht="15" hidden="false" customHeight="false" outlineLevel="0" collapsed="false">
      <c r="O170" s="28"/>
      <c r="P170" s="28"/>
      <c r="AN170" s="23" t="s">
        <v>1844</v>
      </c>
      <c r="AO170" s="31" t="n">
        <v>555662</v>
      </c>
      <c r="AP170" s="32"/>
    </row>
    <row r="171" customFormat="false" ht="15" hidden="false" customHeight="false" outlineLevel="0" collapsed="false">
      <c r="O171" s="28"/>
      <c r="P171" s="28"/>
      <c r="AN171" s="23" t="s">
        <v>1845</v>
      </c>
      <c r="AO171" s="31" t="n">
        <v>467305</v>
      </c>
      <c r="AP171" s="32"/>
    </row>
    <row r="172" customFormat="false" ht="15" hidden="false" customHeight="false" outlineLevel="0" collapsed="false">
      <c r="O172" s="28"/>
      <c r="P172" s="28"/>
      <c r="AN172" s="23" t="s">
        <v>1846</v>
      </c>
      <c r="AO172" s="31" t="n">
        <v>553640</v>
      </c>
      <c r="AP172" s="32"/>
    </row>
    <row r="173" customFormat="false" ht="15" hidden="false" customHeight="false" outlineLevel="0" collapsed="false">
      <c r="O173" s="28"/>
      <c r="P173" s="28"/>
      <c r="AN173" s="23" t="s">
        <v>1847</v>
      </c>
      <c r="AO173" s="31" t="n">
        <v>553650</v>
      </c>
      <c r="AP173" s="32"/>
    </row>
    <row r="174" customFormat="false" ht="15" hidden="false" customHeight="false" outlineLevel="0" collapsed="false">
      <c r="O174" s="28"/>
      <c r="P174" s="28"/>
      <c r="AN174" s="23" t="s">
        <v>1848</v>
      </c>
      <c r="AO174" s="31" t="n">
        <v>307</v>
      </c>
      <c r="AP174" s="32"/>
    </row>
    <row r="175" customFormat="false" ht="15" hidden="false" customHeight="false" outlineLevel="0" collapsed="false">
      <c r="O175" s="28"/>
      <c r="P175" s="28"/>
      <c r="AN175" s="23" t="s">
        <v>1849</v>
      </c>
      <c r="AO175" s="31" t="n">
        <v>569934</v>
      </c>
      <c r="AP175" s="32"/>
    </row>
    <row r="176" customFormat="false" ht="15" hidden="false" customHeight="false" outlineLevel="0" collapsed="false">
      <c r="O176" s="28"/>
      <c r="P176" s="28"/>
      <c r="AN176" s="23" t="s">
        <v>1850</v>
      </c>
      <c r="AO176" s="31" t="n">
        <v>569935</v>
      </c>
      <c r="AP176" s="32"/>
    </row>
    <row r="177" customFormat="false" ht="15" hidden="false" customHeight="false" outlineLevel="0" collapsed="false">
      <c r="O177" s="28"/>
      <c r="P177" s="28"/>
      <c r="AN177" s="23" t="s">
        <v>1851</v>
      </c>
      <c r="AO177" s="31" t="n">
        <v>223</v>
      </c>
      <c r="AP177" s="32"/>
    </row>
    <row r="178" customFormat="false" ht="15" hidden="false" customHeight="false" outlineLevel="0" collapsed="false">
      <c r="O178" s="28"/>
      <c r="P178" s="28"/>
      <c r="AN178" s="23" t="s">
        <v>1852</v>
      </c>
      <c r="AO178" s="31" t="n">
        <v>615183</v>
      </c>
      <c r="AP178" s="32"/>
    </row>
    <row r="179" customFormat="false" ht="15" hidden="false" customHeight="false" outlineLevel="0" collapsed="false">
      <c r="O179" s="28"/>
      <c r="P179" s="28"/>
      <c r="AN179" s="23" t="s">
        <v>1853</v>
      </c>
      <c r="AO179" s="31" t="n">
        <v>567419</v>
      </c>
      <c r="AP179" s="32"/>
    </row>
    <row r="180" customFormat="false" ht="15" hidden="false" customHeight="false" outlineLevel="0" collapsed="false">
      <c r="O180" s="28"/>
      <c r="P180" s="28"/>
      <c r="AN180" s="23" t="s">
        <v>1854</v>
      </c>
      <c r="AO180" s="31" t="n">
        <v>556732</v>
      </c>
      <c r="AP180" s="32"/>
    </row>
    <row r="181" customFormat="false" ht="15" hidden="false" customHeight="false" outlineLevel="0" collapsed="false">
      <c r="O181" s="28"/>
      <c r="P181" s="28"/>
      <c r="AN181" s="23" t="s">
        <v>1855</v>
      </c>
      <c r="AO181" s="31" t="n">
        <v>615825</v>
      </c>
      <c r="AP181" s="32"/>
    </row>
    <row r="182" customFormat="false" ht="15" hidden="false" customHeight="false" outlineLevel="0" collapsed="false">
      <c r="O182" s="28"/>
      <c r="P182" s="28"/>
      <c r="AN182" s="23" t="s">
        <v>1856</v>
      </c>
      <c r="AO182" s="31" t="n">
        <v>477758</v>
      </c>
      <c r="AP182" s="32"/>
    </row>
    <row r="183" customFormat="false" ht="15" hidden="false" customHeight="false" outlineLevel="0" collapsed="false">
      <c r="O183" s="28"/>
      <c r="P183" s="28"/>
      <c r="AN183" s="23" t="s">
        <v>1857</v>
      </c>
      <c r="AO183" s="31" t="n">
        <v>608463</v>
      </c>
      <c r="AP183" s="32"/>
    </row>
    <row r="184" customFormat="false" ht="15" hidden="false" customHeight="false" outlineLevel="0" collapsed="false">
      <c r="O184" s="28"/>
      <c r="P184" s="28"/>
      <c r="AN184" s="23" t="s">
        <v>1858</v>
      </c>
      <c r="AO184" s="31" t="n">
        <v>608016</v>
      </c>
      <c r="AP184" s="32"/>
    </row>
    <row r="185" customFormat="false" ht="15" hidden="false" customHeight="false" outlineLevel="0" collapsed="false">
      <c r="O185" s="28"/>
      <c r="P185" s="28"/>
      <c r="AN185" s="23" t="s">
        <v>1859</v>
      </c>
      <c r="AO185" s="31" t="n">
        <v>608014</v>
      </c>
      <c r="AP185" s="32"/>
    </row>
    <row r="186" customFormat="false" ht="15" hidden="false" customHeight="false" outlineLevel="0" collapsed="false">
      <c r="O186" s="28"/>
      <c r="P186" s="28"/>
      <c r="AN186" s="23" t="s">
        <v>1860</v>
      </c>
      <c r="AO186" s="31" t="n">
        <v>619127</v>
      </c>
      <c r="AP186" s="32"/>
    </row>
    <row r="187" customFormat="false" ht="15" hidden="false" customHeight="false" outlineLevel="0" collapsed="false">
      <c r="O187" s="28"/>
      <c r="P187" s="28"/>
      <c r="AN187" s="23" t="s">
        <v>1861</v>
      </c>
      <c r="AO187" s="31" t="n">
        <v>567473</v>
      </c>
      <c r="AP187" s="32"/>
    </row>
    <row r="188" customFormat="false" ht="15" hidden="false" customHeight="false" outlineLevel="0" collapsed="false">
      <c r="O188" s="28"/>
      <c r="P188" s="28"/>
      <c r="AN188" s="23" t="s">
        <v>1862</v>
      </c>
      <c r="AO188" s="31" t="n">
        <v>567350</v>
      </c>
      <c r="AP188" s="32"/>
    </row>
    <row r="189" customFormat="false" ht="15" hidden="false" customHeight="false" outlineLevel="0" collapsed="false">
      <c r="O189" s="28"/>
      <c r="P189" s="28"/>
      <c r="AN189" s="23" t="s">
        <v>1863</v>
      </c>
      <c r="AO189" s="31" t="n">
        <v>611326</v>
      </c>
      <c r="AP189" s="32"/>
    </row>
    <row r="190" customFormat="false" ht="15" hidden="false" customHeight="false" outlineLevel="0" collapsed="false">
      <c r="O190" s="28"/>
      <c r="P190" s="28"/>
      <c r="AN190" s="23" t="s">
        <v>1864</v>
      </c>
      <c r="AO190" s="31" t="n">
        <v>606946</v>
      </c>
      <c r="AP190" s="32"/>
    </row>
    <row r="191" customFormat="false" ht="15" hidden="false" customHeight="false" outlineLevel="0" collapsed="false">
      <c r="O191" s="28"/>
      <c r="P191" s="28"/>
      <c r="AN191" s="23" t="s">
        <v>1865</v>
      </c>
      <c r="AO191" s="31" t="n">
        <v>609104</v>
      </c>
      <c r="AP191" s="32"/>
    </row>
    <row r="192" customFormat="false" ht="15" hidden="false" customHeight="false" outlineLevel="0" collapsed="false">
      <c r="O192" s="28"/>
      <c r="P192" s="28"/>
      <c r="AN192" s="23" t="s">
        <v>1866</v>
      </c>
      <c r="AO192" s="31" t="n">
        <v>563487</v>
      </c>
      <c r="AP192" s="32"/>
    </row>
    <row r="193" customFormat="false" ht="15" hidden="false" customHeight="false" outlineLevel="0" collapsed="false">
      <c r="O193" s="28"/>
      <c r="P193" s="28"/>
      <c r="AN193" s="23" t="s">
        <v>1867</v>
      </c>
      <c r="AO193" s="31" t="n">
        <v>196</v>
      </c>
      <c r="AP193" s="32"/>
    </row>
    <row r="194" customFormat="false" ht="15" hidden="false" customHeight="false" outlineLevel="0" collapsed="false">
      <c r="O194" s="28"/>
      <c r="P194" s="28"/>
      <c r="AN194" s="23" t="s">
        <v>1868</v>
      </c>
      <c r="AO194" s="31" t="n">
        <v>612644</v>
      </c>
      <c r="AP194" s="32"/>
    </row>
    <row r="195" customFormat="false" ht="15" hidden="false" customHeight="false" outlineLevel="0" collapsed="false">
      <c r="O195" s="28"/>
      <c r="P195" s="28"/>
      <c r="AN195" s="23" t="s">
        <v>1869</v>
      </c>
      <c r="AO195" s="31" t="n">
        <v>544631</v>
      </c>
      <c r="AP195" s="32"/>
    </row>
    <row r="196" customFormat="false" ht="15" hidden="false" customHeight="false" outlineLevel="0" collapsed="false">
      <c r="O196" s="28"/>
      <c r="P196" s="28"/>
      <c r="AN196" s="23" t="s">
        <v>1870</v>
      </c>
      <c r="AO196" s="31" t="n">
        <v>410998</v>
      </c>
      <c r="AP196" s="32"/>
    </row>
    <row r="197" customFormat="false" ht="15" hidden="false" customHeight="false" outlineLevel="0" collapsed="false">
      <c r="O197" s="28"/>
      <c r="P197" s="28"/>
      <c r="AN197" s="23" t="s">
        <v>1871</v>
      </c>
      <c r="AO197" s="31" t="n">
        <v>303</v>
      </c>
      <c r="AP197" s="32"/>
    </row>
    <row r="198" customFormat="false" ht="15" hidden="false" customHeight="false" outlineLevel="0" collapsed="false">
      <c r="O198" s="28"/>
      <c r="P198" s="28"/>
      <c r="AN198" s="23" t="s">
        <v>1872</v>
      </c>
      <c r="AO198" s="31" t="n">
        <v>417706</v>
      </c>
      <c r="AP198" s="32"/>
    </row>
    <row r="199" customFormat="false" ht="15" hidden="false" customHeight="false" outlineLevel="0" collapsed="false">
      <c r="O199" s="28"/>
      <c r="P199" s="28"/>
      <c r="AN199" s="23" t="s">
        <v>1873</v>
      </c>
      <c r="AO199" s="31" t="n">
        <v>615785</v>
      </c>
      <c r="AP199" s="32"/>
    </row>
    <row r="200" customFormat="false" ht="15" hidden="false" customHeight="false" outlineLevel="0" collapsed="false">
      <c r="O200" s="28"/>
      <c r="P200" s="28"/>
      <c r="AN200" s="23" t="s">
        <v>1874</v>
      </c>
      <c r="AO200" s="31" t="n">
        <v>556381</v>
      </c>
      <c r="AP200" s="32"/>
    </row>
    <row r="201" customFormat="false" ht="15" hidden="false" customHeight="false" outlineLevel="0" collapsed="false">
      <c r="O201" s="28"/>
      <c r="P201" s="28"/>
      <c r="AN201" s="23" t="s">
        <v>1875</v>
      </c>
      <c r="AO201" s="31" t="n">
        <v>553474</v>
      </c>
      <c r="AP201" s="32"/>
    </row>
    <row r="202" customFormat="false" ht="15" hidden="false" customHeight="false" outlineLevel="0" collapsed="false">
      <c r="O202" s="28"/>
      <c r="P202" s="28"/>
      <c r="AN202" s="23" t="s">
        <v>1876</v>
      </c>
      <c r="AO202" s="31" t="n">
        <v>616903</v>
      </c>
      <c r="AP202" s="32"/>
    </row>
    <row r="203" customFormat="false" ht="15" hidden="false" customHeight="false" outlineLevel="0" collapsed="false">
      <c r="O203" s="28"/>
      <c r="P203" s="28"/>
      <c r="AN203" s="23" t="s">
        <v>1877</v>
      </c>
      <c r="AO203" s="31" t="n">
        <v>557773</v>
      </c>
      <c r="AP203" s="32"/>
    </row>
    <row r="204" customFormat="false" ht="15" hidden="false" customHeight="false" outlineLevel="0" collapsed="false">
      <c r="O204" s="28"/>
      <c r="P204" s="28"/>
      <c r="AN204" s="23" t="s">
        <v>1878</v>
      </c>
      <c r="AO204" s="31" t="n">
        <v>572307</v>
      </c>
      <c r="AP204" s="32"/>
    </row>
    <row r="205" customFormat="false" ht="15" hidden="false" customHeight="false" outlineLevel="0" collapsed="false">
      <c r="O205" s="28"/>
      <c r="P205" s="28"/>
      <c r="AN205" s="23" t="s">
        <v>1879</v>
      </c>
      <c r="AO205" s="31" t="n">
        <v>607979</v>
      </c>
      <c r="AP205" s="32"/>
    </row>
    <row r="206" customFormat="false" ht="15" hidden="false" customHeight="false" outlineLevel="0" collapsed="false">
      <c r="O206" s="28"/>
      <c r="P206" s="28"/>
      <c r="AN206" s="23" t="s">
        <v>1880</v>
      </c>
      <c r="AO206" s="31" t="n">
        <v>567045</v>
      </c>
      <c r="AP206" s="32"/>
    </row>
    <row r="207" customFormat="false" ht="15" hidden="false" customHeight="false" outlineLevel="0" collapsed="false">
      <c r="O207" s="28"/>
      <c r="P207" s="28"/>
      <c r="AN207" s="23" t="s">
        <v>1881</v>
      </c>
      <c r="AO207" s="31" t="n">
        <v>572114</v>
      </c>
      <c r="AP207" s="32"/>
    </row>
    <row r="208" customFormat="false" ht="15" hidden="false" customHeight="false" outlineLevel="0" collapsed="false">
      <c r="O208" s="28"/>
      <c r="P208" s="28"/>
      <c r="AN208" s="23" t="s">
        <v>1882</v>
      </c>
      <c r="AO208" s="31" t="n">
        <v>618485</v>
      </c>
      <c r="AP208" s="32"/>
    </row>
    <row r="209" customFormat="false" ht="15" hidden="false" customHeight="false" outlineLevel="0" collapsed="false">
      <c r="O209" s="28"/>
      <c r="P209" s="28"/>
      <c r="AN209" s="23" t="s">
        <v>1883</v>
      </c>
      <c r="AO209" s="31" t="n">
        <v>555785</v>
      </c>
      <c r="AP209" s="32"/>
    </row>
    <row r="210" customFormat="false" ht="15" hidden="false" customHeight="false" outlineLevel="0" collapsed="false">
      <c r="O210" s="28"/>
      <c r="P210" s="28"/>
      <c r="AN210" s="23" t="s">
        <v>1884</v>
      </c>
      <c r="AO210" s="31" t="n">
        <v>339070</v>
      </c>
      <c r="AP210" s="32"/>
    </row>
    <row r="211" customFormat="false" ht="15" hidden="false" customHeight="false" outlineLevel="0" collapsed="false">
      <c r="O211" s="28"/>
      <c r="P211" s="28"/>
      <c r="AN211" s="23" t="s">
        <v>1885</v>
      </c>
      <c r="AO211" s="31" t="n">
        <v>553660</v>
      </c>
      <c r="AP211" s="32"/>
    </row>
    <row r="212" customFormat="false" ht="15" hidden="false" customHeight="false" outlineLevel="0" collapsed="false">
      <c r="O212" s="28"/>
      <c r="P212" s="28"/>
      <c r="AN212" s="23" t="s">
        <v>1886</v>
      </c>
      <c r="AO212" s="31" t="n">
        <v>557164</v>
      </c>
      <c r="AP212" s="32"/>
    </row>
    <row r="213" customFormat="false" ht="15" hidden="false" customHeight="false" outlineLevel="0" collapsed="false">
      <c r="O213" s="28"/>
      <c r="P213" s="28"/>
      <c r="AN213" s="23" t="s">
        <v>1887</v>
      </c>
      <c r="AO213" s="31" t="n">
        <v>557163</v>
      </c>
      <c r="AP213" s="32"/>
    </row>
    <row r="214" customFormat="false" ht="15" hidden="false" customHeight="false" outlineLevel="0" collapsed="false">
      <c r="O214" s="28"/>
      <c r="P214" s="28"/>
      <c r="AN214" s="23" t="s">
        <v>1888</v>
      </c>
      <c r="AO214" s="31" t="n">
        <v>555660</v>
      </c>
      <c r="AP214" s="32"/>
    </row>
    <row r="215" customFormat="false" ht="15" hidden="false" customHeight="false" outlineLevel="0" collapsed="false">
      <c r="O215" s="28"/>
      <c r="P215" s="28"/>
      <c r="AN215" s="23" t="s">
        <v>1889</v>
      </c>
      <c r="AO215" s="31" t="n">
        <v>572162</v>
      </c>
      <c r="AP215" s="32"/>
    </row>
    <row r="216" customFormat="false" ht="15" hidden="false" customHeight="false" outlineLevel="0" collapsed="false">
      <c r="O216" s="28"/>
      <c r="P216" s="28"/>
      <c r="AN216" s="23" t="s">
        <v>1890</v>
      </c>
      <c r="AO216" s="31" t="n">
        <v>556770</v>
      </c>
      <c r="AP216" s="32"/>
    </row>
    <row r="217" customFormat="false" ht="15" hidden="false" customHeight="false" outlineLevel="0" collapsed="false">
      <c r="O217" s="28"/>
      <c r="P217" s="28"/>
      <c r="AN217" s="23" t="s">
        <v>1891</v>
      </c>
      <c r="AO217" s="31" t="n">
        <v>556769</v>
      </c>
      <c r="AP217" s="32"/>
    </row>
    <row r="218" customFormat="false" ht="15" hidden="false" customHeight="false" outlineLevel="0" collapsed="false">
      <c r="O218" s="28"/>
      <c r="P218" s="28"/>
      <c r="AN218" s="23" t="s">
        <v>1892</v>
      </c>
      <c r="AO218" s="31" t="n">
        <v>479618</v>
      </c>
      <c r="AP218" s="32"/>
    </row>
    <row r="219" customFormat="false" ht="15" hidden="false" customHeight="false" outlineLevel="0" collapsed="false">
      <c r="O219" s="28"/>
      <c r="P219" s="28"/>
      <c r="AN219" s="23" t="s">
        <v>1893</v>
      </c>
      <c r="AO219" s="31" t="n">
        <v>555973</v>
      </c>
      <c r="AP219" s="32"/>
    </row>
    <row r="220" customFormat="false" ht="15" hidden="false" customHeight="false" outlineLevel="0" collapsed="false">
      <c r="O220" s="28"/>
      <c r="P220" s="28"/>
      <c r="AN220" s="23" t="s">
        <v>1894</v>
      </c>
      <c r="AO220" s="31" t="n">
        <v>555972</v>
      </c>
      <c r="AP220" s="32"/>
    </row>
    <row r="221" customFormat="false" ht="15" hidden="false" customHeight="false" outlineLevel="0" collapsed="false">
      <c r="O221" s="28"/>
      <c r="P221" s="28"/>
      <c r="AN221" s="23" t="s">
        <v>1895</v>
      </c>
      <c r="AO221" s="31" t="n">
        <v>556016</v>
      </c>
      <c r="AP221" s="32"/>
    </row>
    <row r="222" customFormat="false" ht="15" hidden="false" customHeight="false" outlineLevel="0" collapsed="false">
      <c r="O222" s="28"/>
      <c r="P222" s="28"/>
      <c r="AN222" s="23" t="s">
        <v>1896</v>
      </c>
      <c r="AO222" s="31" t="n">
        <v>609076</v>
      </c>
      <c r="AP222" s="32"/>
    </row>
    <row r="223" customFormat="false" ht="15" hidden="false" customHeight="false" outlineLevel="0" collapsed="false">
      <c r="O223" s="28"/>
      <c r="P223" s="28"/>
      <c r="AN223" s="23" t="s">
        <v>1897</v>
      </c>
      <c r="AO223" s="31" t="n">
        <v>606994</v>
      </c>
      <c r="AP223" s="32"/>
    </row>
    <row r="224" customFormat="false" ht="15" hidden="false" customHeight="false" outlineLevel="0" collapsed="false">
      <c r="O224" s="28"/>
      <c r="P224" s="28"/>
      <c r="AN224" s="23" t="s">
        <v>1898</v>
      </c>
      <c r="AO224" s="31" t="n">
        <v>572303</v>
      </c>
      <c r="AP224" s="32"/>
    </row>
    <row r="225" customFormat="false" ht="15" hidden="false" customHeight="false" outlineLevel="0" collapsed="false">
      <c r="O225" s="28"/>
      <c r="P225" s="28"/>
      <c r="AN225" s="23" t="s">
        <v>1899</v>
      </c>
      <c r="AO225" s="31" t="n">
        <v>564025</v>
      </c>
      <c r="AP225" s="32"/>
    </row>
    <row r="226" customFormat="false" ht="15" hidden="false" customHeight="false" outlineLevel="0" collapsed="false">
      <c r="O226" s="28"/>
      <c r="P226" s="28"/>
      <c r="AN226" s="23" t="s">
        <v>1900</v>
      </c>
      <c r="AO226" s="31" t="n">
        <v>556403</v>
      </c>
      <c r="AP226" s="32"/>
    </row>
    <row r="227" customFormat="false" ht="15" hidden="false" customHeight="false" outlineLevel="0" collapsed="false">
      <c r="O227" s="28"/>
      <c r="P227" s="28"/>
      <c r="AN227" s="23" t="s">
        <v>1901</v>
      </c>
      <c r="AO227" s="31" t="n">
        <v>567610</v>
      </c>
      <c r="AP227" s="32"/>
    </row>
    <row r="228" customFormat="false" ht="15" hidden="false" customHeight="false" outlineLevel="0" collapsed="false">
      <c r="O228" s="28"/>
      <c r="P228" s="28"/>
      <c r="AN228" s="23" t="s">
        <v>1902</v>
      </c>
      <c r="AO228" s="31" t="n">
        <v>317220</v>
      </c>
      <c r="AP228" s="32"/>
    </row>
    <row r="229" customFormat="false" ht="15" hidden="false" customHeight="false" outlineLevel="0" collapsed="false">
      <c r="O229" s="28"/>
      <c r="P229" s="28"/>
      <c r="AN229" s="23" t="s">
        <v>1903</v>
      </c>
      <c r="AO229" s="31" t="n">
        <v>556213</v>
      </c>
      <c r="AP229" s="32"/>
    </row>
    <row r="230" customFormat="false" ht="15" hidden="false" customHeight="false" outlineLevel="0" collapsed="false">
      <c r="AN230" s="23" t="s">
        <v>1904</v>
      </c>
      <c r="AO230" s="31" t="n">
        <v>417707</v>
      </c>
      <c r="AP230" s="32"/>
    </row>
    <row r="231" customFormat="false" ht="15" hidden="false" customHeight="false" outlineLevel="0" collapsed="false">
      <c r="AN231" s="23" t="s">
        <v>1905</v>
      </c>
      <c r="AO231" s="31" t="n">
        <v>564257</v>
      </c>
      <c r="AP231" s="32"/>
    </row>
    <row r="232" customFormat="false" ht="15" hidden="false" customHeight="false" outlineLevel="0" collapsed="false">
      <c r="AN232" s="23" t="s">
        <v>1906</v>
      </c>
      <c r="AO232" s="31" t="n">
        <v>564258</v>
      </c>
      <c r="AP232" s="32"/>
    </row>
    <row r="233" customFormat="false" ht="15" hidden="false" customHeight="false" outlineLevel="0" collapsed="false">
      <c r="AN233" s="23" t="s">
        <v>1907</v>
      </c>
      <c r="AO233" s="31" t="n">
        <v>568055</v>
      </c>
      <c r="AP233" s="32"/>
    </row>
    <row r="234" customFormat="false" ht="15" hidden="false" customHeight="false" outlineLevel="0" collapsed="false">
      <c r="AN234" s="23" t="s">
        <v>1908</v>
      </c>
      <c r="AO234" s="31" t="n">
        <v>556294</v>
      </c>
      <c r="AP234" s="32"/>
    </row>
    <row r="235" customFormat="false" ht="15" hidden="false" customHeight="false" outlineLevel="0" collapsed="false">
      <c r="AN235" s="23" t="s">
        <v>1909</v>
      </c>
      <c r="AO235" s="31" t="n">
        <v>396792</v>
      </c>
      <c r="AP235" s="32"/>
    </row>
    <row r="236" customFormat="false" ht="15" hidden="false" customHeight="false" outlineLevel="0" collapsed="false">
      <c r="AN236" s="23" t="s">
        <v>1910</v>
      </c>
      <c r="AO236" s="31" t="n">
        <v>606957</v>
      </c>
      <c r="AP236" s="32"/>
    </row>
    <row r="237" customFormat="false" ht="15" hidden="false" customHeight="false" outlineLevel="0" collapsed="false">
      <c r="AN237" s="23" t="s">
        <v>1911</v>
      </c>
      <c r="AO237" s="31" t="n">
        <v>572297</v>
      </c>
      <c r="AP237" s="32"/>
    </row>
    <row r="238" customFormat="false" ht="15" hidden="false" customHeight="false" outlineLevel="0" collapsed="false">
      <c r="AN238" s="23" t="s">
        <v>1912</v>
      </c>
      <c r="AO238" s="31" t="n">
        <v>556108</v>
      </c>
      <c r="AP238" s="32"/>
    </row>
    <row r="239" customFormat="false" ht="15" hidden="false" customHeight="false" outlineLevel="0" collapsed="false">
      <c r="AN239" s="23" t="s">
        <v>1913</v>
      </c>
      <c r="AO239" s="31" t="n">
        <v>608486</v>
      </c>
      <c r="AP239" s="32"/>
    </row>
    <row r="240" customFormat="false" ht="15" hidden="false" customHeight="false" outlineLevel="0" collapsed="false">
      <c r="AN240" s="23" t="s">
        <v>1914</v>
      </c>
      <c r="AO240" s="31" t="n">
        <v>572561</v>
      </c>
      <c r="AP240" s="32"/>
    </row>
    <row r="241" customFormat="false" ht="15" hidden="false" customHeight="false" outlineLevel="0" collapsed="false">
      <c r="AN241" s="23" t="s">
        <v>1915</v>
      </c>
      <c r="AO241" s="31" t="n">
        <v>572311</v>
      </c>
      <c r="AP241" s="32"/>
    </row>
    <row r="242" customFormat="false" ht="15" hidden="false" customHeight="false" outlineLevel="0" collapsed="false">
      <c r="AN242" s="23" t="s">
        <v>1916</v>
      </c>
      <c r="AO242" s="31" t="n">
        <v>572310</v>
      </c>
      <c r="AP242" s="32"/>
    </row>
    <row r="243" customFormat="false" ht="15" hidden="false" customHeight="false" outlineLevel="0" collapsed="false">
      <c r="AN243" s="23" t="s">
        <v>1917</v>
      </c>
      <c r="AO243" s="31" t="n">
        <v>572309</v>
      </c>
      <c r="AP243" s="32"/>
    </row>
    <row r="244" customFormat="false" ht="15" hidden="false" customHeight="false" outlineLevel="0" collapsed="false">
      <c r="AN244" s="23" t="s">
        <v>1918</v>
      </c>
      <c r="AO244" s="31" t="n">
        <v>618876</v>
      </c>
      <c r="AP244" s="32"/>
    </row>
    <row r="245" customFormat="false" ht="15" hidden="false" customHeight="false" outlineLevel="0" collapsed="false">
      <c r="AN245" s="23" t="s">
        <v>1919</v>
      </c>
      <c r="AO245" s="31" t="n">
        <v>606834</v>
      </c>
      <c r="AP245" s="32"/>
    </row>
    <row r="246" customFormat="false" ht="15" hidden="false" customHeight="false" outlineLevel="0" collapsed="false">
      <c r="AN246" s="23" t="s">
        <v>1920</v>
      </c>
      <c r="AO246" s="31" t="n">
        <v>619128</v>
      </c>
      <c r="AP246" s="32"/>
    </row>
    <row r="247" customFormat="false" ht="15" hidden="false" customHeight="false" outlineLevel="0" collapsed="false">
      <c r="AN247" s="23" t="s">
        <v>1921</v>
      </c>
      <c r="AO247" s="31" t="n">
        <v>619129</v>
      </c>
      <c r="AP247" s="32"/>
    </row>
    <row r="248" customFormat="false" ht="15" hidden="false" customHeight="false" outlineLevel="0" collapsed="false">
      <c r="AN248" s="23" t="s">
        <v>1922</v>
      </c>
      <c r="AO248" s="31" t="n">
        <v>564294</v>
      </c>
      <c r="AP248" s="32"/>
    </row>
    <row r="249" customFormat="false" ht="15" hidden="false" customHeight="false" outlineLevel="0" collapsed="false">
      <c r="AN249" s="23" t="s">
        <v>1923</v>
      </c>
      <c r="AO249" s="31" t="n">
        <v>555318</v>
      </c>
      <c r="AP249" s="32"/>
    </row>
    <row r="250" customFormat="false" ht="15" hidden="false" customHeight="false" outlineLevel="0" collapsed="false">
      <c r="AN250" s="23" t="s">
        <v>1924</v>
      </c>
      <c r="AO250" s="31" t="n">
        <v>618046</v>
      </c>
      <c r="AP250" s="32"/>
    </row>
    <row r="251" customFormat="false" ht="15" hidden="false" customHeight="false" outlineLevel="0" collapsed="false">
      <c r="AN251" s="23" t="s">
        <v>1925</v>
      </c>
      <c r="AO251" s="31" t="n">
        <v>618045</v>
      </c>
      <c r="AP251" s="32"/>
    </row>
    <row r="252" customFormat="false" ht="15" hidden="false" customHeight="false" outlineLevel="0" collapsed="false">
      <c r="AN252" s="23" t="s">
        <v>1926</v>
      </c>
      <c r="AO252" s="31" t="n">
        <v>557811</v>
      </c>
      <c r="AP252" s="32"/>
    </row>
    <row r="253" customFormat="false" ht="15" hidden="false" customHeight="false" outlineLevel="0" collapsed="false">
      <c r="AN253" s="23" t="s">
        <v>1927</v>
      </c>
      <c r="AO253" s="31" t="n">
        <v>565912</v>
      </c>
      <c r="AP253" s="32"/>
    </row>
    <row r="254" customFormat="false" ht="15" hidden="false" customHeight="false" outlineLevel="0" collapsed="false">
      <c r="O254" s="38"/>
      <c r="AN254" s="23" t="s">
        <v>1928</v>
      </c>
      <c r="AO254" s="31" t="n">
        <v>417709</v>
      </c>
      <c r="AP254" s="32"/>
    </row>
    <row r="255" customFormat="false" ht="15" hidden="false" customHeight="false" outlineLevel="0" collapsed="false">
      <c r="AN255" s="23" t="s">
        <v>1929</v>
      </c>
      <c r="AO255" s="31" t="n">
        <v>479621</v>
      </c>
      <c r="AP255" s="32"/>
    </row>
    <row r="256" customFormat="false" ht="15" hidden="false" customHeight="false" outlineLevel="0" collapsed="false">
      <c r="AN256" s="23" t="s">
        <v>1930</v>
      </c>
      <c r="AO256" s="31" t="n">
        <v>383492</v>
      </c>
      <c r="AP256" s="32"/>
    </row>
    <row r="257" customFormat="false" ht="15" hidden="false" customHeight="false" outlineLevel="0" collapsed="false">
      <c r="AN257" s="23" t="s">
        <v>1931</v>
      </c>
      <c r="AO257" s="31" t="n">
        <v>572960</v>
      </c>
      <c r="AP257" s="32"/>
    </row>
    <row r="258" customFormat="false" ht="15" hidden="false" customHeight="false" outlineLevel="0" collapsed="false">
      <c r="AN258" s="23" t="s">
        <v>1932</v>
      </c>
      <c r="AO258" s="31" t="n">
        <v>572942</v>
      </c>
      <c r="AP258" s="32"/>
    </row>
    <row r="259" customFormat="false" ht="15" hidden="false" customHeight="false" outlineLevel="0" collapsed="false">
      <c r="AN259" s="23" t="s">
        <v>1933</v>
      </c>
      <c r="AO259" s="31" t="n">
        <v>572941</v>
      </c>
      <c r="AP259" s="32"/>
    </row>
    <row r="260" customFormat="false" ht="15" hidden="false" customHeight="false" outlineLevel="0" collapsed="false">
      <c r="AN260" s="23" t="s">
        <v>1934</v>
      </c>
      <c r="AO260" s="31" t="n">
        <v>572943</v>
      </c>
      <c r="AP260" s="32"/>
    </row>
    <row r="261" customFormat="false" ht="15" hidden="false" customHeight="false" outlineLevel="0" collapsed="false">
      <c r="AN261" s="23" t="s">
        <v>1935</v>
      </c>
      <c r="AO261" s="31" t="n">
        <v>83</v>
      </c>
      <c r="AP261" s="32"/>
    </row>
    <row r="262" customFormat="false" ht="15" hidden="false" customHeight="false" outlineLevel="0" collapsed="false">
      <c r="AN262" s="23" t="s">
        <v>1936</v>
      </c>
      <c r="AO262" s="31" t="n">
        <v>569907</v>
      </c>
      <c r="AP262" s="32"/>
    </row>
    <row r="263" customFormat="false" ht="15" hidden="false" customHeight="false" outlineLevel="0" collapsed="false">
      <c r="AN263" s="23" t="s">
        <v>1937</v>
      </c>
      <c r="AO263" s="31" t="n">
        <v>606741</v>
      </c>
      <c r="AP263" s="32"/>
    </row>
    <row r="264" customFormat="false" ht="15" hidden="false" customHeight="false" outlineLevel="0" collapsed="false">
      <c r="AN264" s="23" t="s">
        <v>1938</v>
      </c>
      <c r="AO264" s="31" t="n">
        <v>568152</v>
      </c>
      <c r="AP264" s="32"/>
    </row>
    <row r="265" customFormat="false" ht="15" hidden="false" customHeight="false" outlineLevel="0" collapsed="false">
      <c r="AN265" s="23" t="s">
        <v>1939</v>
      </c>
      <c r="AO265" s="31" t="n">
        <v>240</v>
      </c>
      <c r="AP265" s="32"/>
    </row>
    <row r="266" customFormat="false" ht="15" hidden="false" customHeight="false" outlineLevel="0" collapsed="false">
      <c r="AN266" s="23" t="s">
        <v>1940</v>
      </c>
      <c r="AO266" s="31" t="n">
        <v>615388</v>
      </c>
      <c r="AP266" s="32"/>
    </row>
    <row r="267" customFormat="false" ht="15" hidden="false" customHeight="false" outlineLevel="0" collapsed="false">
      <c r="AN267" s="23" t="s">
        <v>1941</v>
      </c>
      <c r="AO267" s="31" t="n">
        <v>557272</v>
      </c>
      <c r="AP267" s="32"/>
    </row>
    <row r="268" customFormat="false" ht="15" hidden="false" customHeight="false" outlineLevel="0" collapsed="false">
      <c r="AN268" s="23" t="s">
        <v>1942</v>
      </c>
      <c r="AO268" s="31" t="n">
        <v>557750</v>
      </c>
      <c r="AP268" s="32"/>
    </row>
    <row r="269" customFormat="false" ht="15" hidden="false" customHeight="false" outlineLevel="0" collapsed="false">
      <c r="AN269" s="23" t="s">
        <v>1943</v>
      </c>
      <c r="AO269" s="31" t="n">
        <v>557270</v>
      </c>
      <c r="AP269" s="32"/>
    </row>
    <row r="270" customFormat="false" ht="15" hidden="false" customHeight="false" outlineLevel="0" collapsed="false">
      <c r="AN270" s="23" t="s">
        <v>1944</v>
      </c>
      <c r="AO270" s="31" t="n">
        <v>557732</v>
      </c>
      <c r="AP270" s="32"/>
    </row>
    <row r="271" customFormat="false" ht="15" hidden="false" customHeight="false" outlineLevel="0" collapsed="false">
      <c r="AN271" s="23" t="s">
        <v>1945</v>
      </c>
      <c r="AO271" s="31" t="n">
        <v>580175</v>
      </c>
      <c r="AP271" s="32"/>
    </row>
    <row r="272" customFormat="false" ht="15" hidden="false" customHeight="false" outlineLevel="0" collapsed="false">
      <c r="AN272" s="23" t="s">
        <v>1946</v>
      </c>
      <c r="AO272" s="31" t="n">
        <v>580260</v>
      </c>
      <c r="AP272" s="32"/>
    </row>
    <row r="273" customFormat="false" ht="15" hidden="false" customHeight="false" outlineLevel="0" collapsed="false">
      <c r="AN273" s="23" t="s">
        <v>1947</v>
      </c>
      <c r="AO273" s="31" t="n">
        <v>557271</v>
      </c>
      <c r="AP273" s="32"/>
    </row>
    <row r="274" customFormat="false" ht="15" hidden="false" customHeight="false" outlineLevel="0" collapsed="false">
      <c r="AN274" s="23" t="s">
        <v>1948</v>
      </c>
      <c r="AO274" s="31" t="n">
        <v>557269</v>
      </c>
      <c r="AP274" s="32"/>
    </row>
    <row r="275" customFormat="false" ht="15" hidden="false" customHeight="false" outlineLevel="0" collapsed="false">
      <c r="AN275" s="23" t="s">
        <v>1949</v>
      </c>
      <c r="AO275" s="31" t="n">
        <v>568090</v>
      </c>
      <c r="AP275" s="32"/>
    </row>
    <row r="276" customFormat="false" ht="15" hidden="false" customHeight="false" outlineLevel="0" collapsed="false">
      <c r="AN276" s="23" t="s">
        <v>1950</v>
      </c>
      <c r="AO276" s="31" t="n">
        <v>557268</v>
      </c>
      <c r="AP276" s="32"/>
    </row>
    <row r="277" customFormat="false" ht="15" hidden="false" customHeight="false" outlineLevel="0" collapsed="false">
      <c r="AN277" s="23" t="s">
        <v>1951</v>
      </c>
      <c r="AO277" s="31" t="n">
        <v>555386</v>
      </c>
      <c r="AP277" s="32"/>
    </row>
    <row r="278" customFormat="false" ht="15" hidden="false" customHeight="false" outlineLevel="0" collapsed="false">
      <c r="AN278" s="23" t="s">
        <v>1952</v>
      </c>
      <c r="AO278" s="31" t="n">
        <v>565311</v>
      </c>
      <c r="AP278" s="32"/>
    </row>
    <row r="279" customFormat="false" ht="15" hidden="false" customHeight="false" outlineLevel="0" collapsed="false">
      <c r="AN279" s="23" t="s">
        <v>1953</v>
      </c>
      <c r="AO279" s="31" t="n">
        <v>477744</v>
      </c>
      <c r="AP279" s="32"/>
    </row>
    <row r="280" customFormat="false" ht="15" hidden="false" customHeight="false" outlineLevel="0" collapsed="false">
      <c r="AN280" s="23" t="s">
        <v>1954</v>
      </c>
      <c r="AO280" s="31" t="n">
        <v>563492</v>
      </c>
      <c r="AP280" s="32"/>
    </row>
    <row r="281" customFormat="false" ht="15" hidden="false" customHeight="false" outlineLevel="0" collapsed="false">
      <c r="AN281" s="23" t="s">
        <v>1955</v>
      </c>
      <c r="AO281" s="31" t="n">
        <v>563549</v>
      </c>
      <c r="AP281" s="32"/>
    </row>
    <row r="282" customFormat="false" ht="15" hidden="false" customHeight="false" outlineLevel="0" collapsed="false">
      <c r="AN282" s="23" t="s">
        <v>1956</v>
      </c>
      <c r="AO282" s="31" t="n">
        <v>563493</v>
      </c>
      <c r="AP282" s="32"/>
    </row>
    <row r="283" customFormat="false" ht="15" hidden="false" customHeight="false" outlineLevel="0" collapsed="false">
      <c r="AN283" s="23" t="s">
        <v>1957</v>
      </c>
      <c r="AO283" s="31" t="n">
        <v>417800</v>
      </c>
      <c r="AP283" s="32"/>
    </row>
    <row r="284" customFormat="false" ht="15" hidden="false" customHeight="false" outlineLevel="0" collapsed="false">
      <c r="AN284" s="23" t="s">
        <v>1958</v>
      </c>
      <c r="AO284" s="31" t="n">
        <v>545775</v>
      </c>
      <c r="AP284" s="32"/>
    </row>
    <row r="285" customFormat="false" ht="15" hidden="false" customHeight="false" outlineLevel="0" collapsed="false">
      <c r="AN285" s="23" t="s">
        <v>1959</v>
      </c>
      <c r="AO285" s="31" t="n">
        <v>204</v>
      </c>
      <c r="AP285" s="32"/>
    </row>
    <row r="286" customFormat="false" ht="15" hidden="false" customHeight="false" outlineLevel="0" collapsed="false">
      <c r="AN286" s="23" t="s">
        <v>1960</v>
      </c>
      <c r="AO286" s="31" t="n">
        <v>608691</v>
      </c>
      <c r="AP286" s="32"/>
    </row>
    <row r="287" customFormat="false" ht="15" hidden="false" customHeight="false" outlineLevel="0" collapsed="false">
      <c r="AN287" s="23" t="s">
        <v>1961</v>
      </c>
      <c r="AO287" s="31" t="n">
        <v>615994</v>
      </c>
      <c r="AP287" s="32"/>
    </row>
    <row r="288" customFormat="false" ht="15" hidden="false" customHeight="false" outlineLevel="0" collapsed="false">
      <c r="AN288" s="23" t="s">
        <v>1962</v>
      </c>
      <c r="AO288" s="31" t="n">
        <v>573653</v>
      </c>
      <c r="AP288" s="32"/>
    </row>
    <row r="289" customFormat="false" ht="15" hidden="false" customHeight="false" outlineLevel="0" collapsed="false">
      <c r="AN289" s="23" t="s">
        <v>1963</v>
      </c>
      <c r="AO289" s="31" t="n">
        <v>572560</v>
      </c>
      <c r="AP289" s="32"/>
    </row>
    <row r="290" customFormat="false" ht="15" hidden="false" customHeight="false" outlineLevel="0" collapsed="false">
      <c r="AN290" s="23" t="s">
        <v>1964</v>
      </c>
      <c r="AO290" s="31" t="n">
        <v>608311</v>
      </c>
      <c r="AP290" s="32"/>
    </row>
    <row r="291" customFormat="false" ht="15" hidden="false" customHeight="false" outlineLevel="0" collapsed="false">
      <c r="AN291" s="23" t="s">
        <v>1965</v>
      </c>
      <c r="AO291" s="31" t="n">
        <v>611745</v>
      </c>
      <c r="AP291" s="32"/>
    </row>
    <row r="292" customFormat="false" ht="15" hidden="false" customHeight="false" outlineLevel="0" collapsed="false">
      <c r="AN292" s="23" t="s">
        <v>1966</v>
      </c>
      <c r="AO292" s="31" t="n">
        <v>564658</v>
      </c>
      <c r="AP292" s="32"/>
    </row>
    <row r="293" customFormat="false" ht="15" hidden="false" customHeight="false" outlineLevel="0" collapsed="false">
      <c r="AN293" s="23" t="s">
        <v>1967</v>
      </c>
      <c r="AO293" s="31" t="n">
        <v>339087</v>
      </c>
      <c r="AP293" s="32"/>
    </row>
    <row r="294" customFormat="false" ht="15" hidden="false" customHeight="false" outlineLevel="0" collapsed="false">
      <c r="AN294" s="23" t="s">
        <v>1968</v>
      </c>
      <c r="AO294" s="31" t="n">
        <v>572608</v>
      </c>
      <c r="AP294" s="32"/>
    </row>
    <row r="295" customFormat="false" ht="15" hidden="false" customHeight="false" outlineLevel="0" collapsed="false">
      <c r="AN295" s="23" t="s">
        <v>1969</v>
      </c>
      <c r="AO295" s="31" t="n">
        <v>607406</v>
      </c>
      <c r="AP295" s="32"/>
    </row>
    <row r="296" customFormat="false" ht="15" hidden="false" customHeight="false" outlineLevel="0" collapsed="false">
      <c r="AN296" s="23" t="s">
        <v>1970</v>
      </c>
      <c r="AO296" s="31" t="n">
        <v>609071</v>
      </c>
      <c r="AP296" s="32"/>
    </row>
    <row r="297" customFormat="false" ht="15" hidden="false" customHeight="false" outlineLevel="0" collapsed="false">
      <c r="AN297" s="23" t="s">
        <v>1971</v>
      </c>
      <c r="AO297" s="31" t="n">
        <v>99</v>
      </c>
      <c r="AP297" s="32"/>
    </row>
    <row r="298" customFormat="false" ht="15" hidden="false" customHeight="false" outlineLevel="0" collapsed="false">
      <c r="AN298" s="23" t="s">
        <v>1972</v>
      </c>
      <c r="AO298" s="31" t="n">
        <v>208</v>
      </c>
      <c r="AP298" s="32"/>
    </row>
    <row r="299" customFormat="false" ht="15" hidden="false" customHeight="false" outlineLevel="0" collapsed="false">
      <c r="AN299" s="23" t="s">
        <v>1973</v>
      </c>
      <c r="AO299" s="31" t="n">
        <v>556337</v>
      </c>
      <c r="AP299" s="32"/>
    </row>
    <row r="300" customFormat="false" ht="15" hidden="false" customHeight="false" outlineLevel="0" collapsed="false">
      <c r="AN300" s="23" t="s">
        <v>1974</v>
      </c>
      <c r="AO300" s="31" t="n">
        <v>610676</v>
      </c>
      <c r="AP300" s="32"/>
    </row>
    <row r="301" customFormat="false" ht="15" hidden="false" customHeight="false" outlineLevel="0" collapsed="false">
      <c r="AN301" s="23" t="s">
        <v>1975</v>
      </c>
      <c r="AO301" s="31" t="n">
        <v>572616</v>
      </c>
      <c r="AP301" s="32"/>
    </row>
    <row r="302" customFormat="false" ht="15" hidden="false" customHeight="false" outlineLevel="0" collapsed="false">
      <c r="AN302" s="23" t="s">
        <v>1976</v>
      </c>
      <c r="AO302" s="31" t="n">
        <v>569410</v>
      </c>
      <c r="AP302" s="32"/>
    </row>
    <row r="303" customFormat="false" ht="15" hidden="false" customHeight="false" outlineLevel="0" collapsed="false">
      <c r="AN303" s="23" t="s">
        <v>1977</v>
      </c>
      <c r="AO303" s="31" t="n">
        <v>608037</v>
      </c>
      <c r="AP303" s="32"/>
    </row>
    <row r="304" customFormat="false" ht="15" hidden="false" customHeight="false" outlineLevel="0" collapsed="false">
      <c r="AN304" s="23" t="s">
        <v>1978</v>
      </c>
      <c r="AO304" s="31" t="n">
        <v>608084</v>
      </c>
      <c r="AP304" s="32"/>
    </row>
    <row r="305" customFormat="false" ht="15" hidden="false" customHeight="false" outlineLevel="0" collapsed="false">
      <c r="AN305" s="23" t="s">
        <v>1979</v>
      </c>
      <c r="AO305" s="31" t="n">
        <v>75</v>
      </c>
      <c r="AP305" s="32"/>
    </row>
    <row r="306" customFormat="false" ht="15" hidden="false" customHeight="false" outlineLevel="0" collapsed="false">
      <c r="AN306" s="23" t="s">
        <v>1980</v>
      </c>
      <c r="AO306" s="31" t="n">
        <v>304</v>
      </c>
      <c r="AP306" s="32"/>
    </row>
    <row r="307" customFormat="false" ht="15" hidden="false" customHeight="false" outlineLevel="0" collapsed="false">
      <c r="AN307" s="23" t="s">
        <v>1981</v>
      </c>
      <c r="AO307" s="31" t="n">
        <v>486276</v>
      </c>
      <c r="AP307" s="32"/>
    </row>
    <row r="308" customFormat="false" ht="15" hidden="false" customHeight="false" outlineLevel="0" collapsed="false">
      <c r="AN308" s="23" t="s">
        <v>1982</v>
      </c>
      <c r="AO308" s="31" t="n">
        <v>609308</v>
      </c>
      <c r="AP308" s="32"/>
    </row>
    <row r="309" customFormat="false" ht="15" hidden="false" customHeight="false" outlineLevel="0" collapsed="false">
      <c r="AN309" s="23" t="s">
        <v>1983</v>
      </c>
      <c r="AO309" s="31" t="n">
        <v>555389</v>
      </c>
      <c r="AP309" s="32"/>
    </row>
    <row r="310" customFormat="false" ht="15" hidden="false" customHeight="false" outlineLevel="0" collapsed="false">
      <c r="AN310" s="23" t="s">
        <v>1984</v>
      </c>
      <c r="AO310" s="31" t="n">
        <v>545795</v>
      </c>
      <c r="AP310" s="32"/>
    </row>
    <row r="311" customFormat="false" ht="15" hidden="false" customHeight="false" outlineLevel="0" collapsed="false">
      <c r="AN311" s="23" t="s">
        <v>1985</v>
      </c>
      <c r="AO311" s="31" t="n">
        <v>545796</v>
      </c>
      <c r="AP311" s="32"/>
    </row>
    <row r="312" customFormat="false" ht="15" hidden="false" customHeight="false" outlineLevel="0" collapsed="false">
      <c r="AN312" s="23" t="s">
        <v>1986</v>
      </c>
      <c r="AO312" s="31" t="n">
        <v>556263</v>
      </c>
      <c r="AP312" s="32"/>
    </row>
    <row r="313" customFormat="false" ht="15" hidden="false" customHeight="false" outlineLevel="0" collapsed="false">
      <c r="AN313" s="23" t="s">
        <v>1987</v>
      </c>
      <c r="AO313" s="31" t="n">
        <v>612583</v>
      </c>
      <c r="AP313" s="32"/>
    </row>
    <row r="314" customFormat="false" ht="15" hidden="false" customHeight="false" outlineLevel="0" collapsed="false">
      <c r="AN314" s="23" t="s">
        <v>1988</v>
      </c>
      <c r="AO314" s="31" t="n">
        <v>612584</v>
      </c>
      <c r="AP314" s="32"/>
    </row>
    <row r="315" customFormat="false" ht="15" hidden="false" customHeight="false" outlineLevel="0" collapsed="false">
      <c r="AN315" s="23" t="s">
        <v>1989</v>
      </c>
      <c r="AO315" s="31" t="n">
        <v>563582</v>
      </c>
      <c r="AP315" s="32"/>
    </row>
    <row r="316" customFormat="false" ht="15" hidden="false" customHeight="false" outlineLevel="0" collapsed="false">
      <c r="AN316" s="23" t="s">
        <v>1990</v>
      </c>
      <c r="AO316" s="31" t="n">
        <v>615182</v>
      </c>
      <c r="AP316" s="32"/>
    </row>
    <row r="317" customFormat="false" ht="15" hidden="false" customHeight="false" outlineLevel="0" collapsed="false">
      <c r="AN317" s="23" t="s">
        <v>1991</v>
      </c>
      <c r="AO317" s="31" t="n">
        <v>564297</v>
      </c>
      <c r="AP317" s="32"/>
    </row>
    <row r="318" customFormat="false" ht="15" hidden="false" customHeight="false" outlineLevel="0" collapsed="false">
      <c r="AN318" s="23" t="s">
        <v>1992</v>
      </c>
      <c r="AO318" s="31" t="n">
        <v>563620</v>
      </c>
      <c r="AP318" s="32"/>
    </row>
    <row r="319" customFormat="false" ht="15" hidden="false" customHeight="false" outlineLevel="0" collapsed="false">
      <c r="AN319" s="23" t="s">
        <v>1993</v>
      </c>
      <c r="AO319" s="31" t="n">
        <v>563619</v>
      </c>
      <c r="AP319" s="32"/>
    </row>
    <row r="320" customFormat="false" ht="15" hidden="false" customHeight="false" outlineLevel="0" collapsed="false">
      <c r="AN320" s="23" t="s">
        <v>1994</v>
      </c>
      <c r="AO320" s="31" t="n">
        <v>609453</v>
      </c>
      <c r="AP320" s="32"/>
    </row>
    <row r="321" customFormat="false" ht="15" hidden="false" customHeight="false" outlineLevel="0" collapsed="false">
      <c r="AN321" s="23" t="s">
        <v>1995</v>
      </c>
      <c r="AO321" s="31" t="n">
        <v>563547</v>
      </c>
      <c r="AP321" s="32"/>
    </row>
    <row r="322" customFormat="false" ht="15" hidden="false" customHeight="false" outlineLevel="0" collapsed="false">
      <c r="AN322" s="23" t="s">
        <v>1996</v>
      </c>
      <c r="AO322" s="31" t="n">
        <v>610675</v>
      </c>
      <c r="AP322" s="32"/>
    </row>
    <row r="323" customFormat="false" ht="15" hidden="false" customHeight="false" outlineLevel="0" collapsed="false">
      <c r="AN323" s="23" t="s">
        <v>1997</v>
      </c>
      <c r="AO323" s="31" t="n">
        <v>96261</v>
      </c>
      <c r="AP323" s="32"/>
    </row>
    <row r="324" customFormat="false" ht="15" hidden="false" customHeight="false" outlineLevel="0" collapsed="false">
      <c r="AN324" s="23" t="s">
        <v>1998</v>
      </c>
      <c r="AO324" s="31" t="n">
        <v>562312</v>
      </c>
      <c r="AP324" s="32"/>
    </row>
    <row r="325" customFormat="false" ht="15" hidden="false" customHeight="false" outlineLevel="0" collapsed="false">
      <c r="AN325" s="23" t="s">
        <v>1999</v>
      </c>
      <c r="AO325" s="31" t="n">
        <v>606761</v>
      </c>
      <c r="AP325" s="32"/>
    </row>
    <row r="326" customFormat="false" ht="15" hidden="false" customHeight="false" outlineLevel="0" collapsed="false">
      <c r="AN326" s="23" t="s">
        <v>2000</v>
      </c>
      <c r="AO326" s="31" t="n">
        <v>417808</v>
      </c>
      <c r="AP326" s="32"/>
    </row>
    <row r="327" customFormat="false" ht="15" hidden="false" customHeight="false" outlineLevel="0" collapsed="false">
      <c r="AN327" s="23" t="s">
        <v>2001</v>
      </c>
      <c r="AO327" s="31" t="n">
        <v>608659</v>
      </c>
      <c r="AP327" s="32"/>
    </row>
    <row r="328" customFormat="false" ht="15" hidden="false" customHeight="false" outlineLevel="0" collapsed="false">
      <c r="AN328" s="23" t="s">
        <v>2002</v>
      </c>
      <c r="AO328" s="31" t="n">
        <v>617898</v>
      </c>
      <c r="AP328" s="32"/>
    </row>
    <row r="329" customFormat="false" ht="15" hidden="false" customHeight="false" outlineLevel="0" collapsed="false">
      <c r="AN329" s="23" t="s">
        <v>2003</v>
      </c>
      <c r="AO329" s="31" t="n">
        <v>565871</v>
      </c>
      <c r="AP329" s="32"/>
    </row>
    <row r="330" customFormat="false" ht="15" hidden="false" customHeight="false" outlineLevel="0" collapsed="false">
      <c r="AN330" s="23" t="s">
        <v>2004</v>
      </c>
      <c r="AO330" s="31" t="n">
        <v>565873</v>
      </c>
      <c r="AP330" s="32"/>
    </row>
    <row r="331" customFormat="false" ht="15" hidden="false" customHeight="false" outlineLevel="0" collapsed="false">
      <c r="AN331" s="23" t="s">
        <v>2005</v>
      </c>
      <c r="AO331" s="31" t="n">
        <v>565899</v>
      </c>
      <c r="AP331" s="32"/>
    </row>
    <row r="332" customFormat="false" ht="15" hidden="false" customHeight="false" outlineLevel="0" collapsed="false">
      <c r="AN332" s="23" t="s">
        <v>2006</v>
      </c>
      <c r="AO332" s="31" t="n">
        <v>565872</v>
      </c>
      <c r="AP332" s="32"/>
    </row>
    <row r="333" customFormat="false" ht="15" hidden="false" customHeight="false" outlineLevel="0" collapsed="false">
      <c r="AN333" s="23" t="s">
        <v>2007</v>
      </c>
      <c r="AO333" s="31" t="n">
        <v>565874</v>
      </c>
      <c r="AP333" s="32"/>
    </row>
    <row r="334" customFormat="false" ht="15" hidden="false" customHeight="false" outlineLevel="0" collapsed="false">
      <c r="AN334" s="23" t="s">
        <v>2008</v>
      </c>
      <c r="AO334" s="31" t="n">
        <v>610677</v>
      </c>
      <c r="AP334" s="32"/>
    </row>
    <row r="335" customFormat="false" ht="15" hidden="false" customHeight="false" outlineLevel="0" collapsed="false">
      <c r="AN335" s="23" t="s">
        <v>2009</v>
      </c>
      <c r="AO335" s="31" t="n">
        <v>567043</v>
      </c>
      <c r="AP335" s="32"/>
    </row>
    <row r="336" customFormat="false" ht="15" hidden="false" customHeight="false" outlineLevel="0" collapsed="false">
      <c r="AN336" s="23" t="s">
        <v>2010</v>
      </c>
      <c r="AO336" s="31" t="n">
        <v>567627</v>
      </c>
      <c r="AP336" s="32"/>
    </row>
    <row r="337" customFormat="false" ht="15" hidden="false" customHeight="false" outlineLevel="0" collapsed="false">
      <c r="AN337" s="23" t="s">
        <v>2011</v>
      </c>
      <c r="AO337" s="31" t="n">
        <v>567628</v>
      </c>
      <c r="AP337" s="32"/>
    </row>
    <row r="338" customFormat="false" ht="15" hidden="false" customHeight="false" outlineLevel="0" collapsed="false">
      <c r="AN338" s="23" t="s">
        <v>2012</v>
      </c>
      <c r="AO338" s="31" t="n">
        <v>567629</v>
      </c>
      <c r="AP338" s="32"/>
    </row>
    <row r="339" customFormat="false" ht="15" hidden="false" customHeight="false" outlineLevel="0" collapsed="false">
      <c r="AN339" s="23" t="s">
        <v>2013</v>
      </c>
      <c r="AO339" s="31" t="n">
        <v>417710</v>
      </c>
      <c r="AP339" s="32"/>
    </row>
    <row r="340" customFormat="false" ht="15" hidden="false" customHeight="false" outlineLevel="0" collapsed="false">
      <c r="AN340" s="23" t="s">
        <v>2014</v>
      </c>
      <c r="AO340" s="31" t="n">
        <v>615784</v>
      </c>
      <c r="AP340" s="32"/>
    </row>
    <row r="341" customFormat="false" ht="15" hidden="false" customHeight="false" outlineLevel="0" collapsed="false">
      <c r="AN341" s="23" t="s">
        <v>2015</v>
      </c>
      <c r="AO341" s="31" t="n">
        <v>607796</v>
      </c>
      <c r="AP341" s="32"/>
    </row>
    <row r="342" customFormat="false" ht="15" hidden="false" customHeight="false" outlineLevel="0" collapsed="false">
      <c r="AN342" s="23" t="s">
        <v>2016</v>
      </c>
      <c r="AO342" s="31" t="n">
        <v>608429</v>
      </c>
      <c r="AP342" s="32"/>
    </row>
    <row r="343" customFormat="false" ht="15" hidden="false" customHeight="false" outlineLevel="0" collapsed="false">
      <c r="AN343" s="23" t="s">
        <v>2017</v>
      </c>
      <c r="AO343" s="31" t="n">
        <v>477765</v>
      </c>
      <c r="AP343" s="32"/>
    </row>
    <row r="344" customFormat="false" ht="15" hidden="false" customHeight="false" outlineLevel="0" collapsed="false">
      <c r="AN344" s="23" t="s">
        <v>2018</v>
      </c>
      <c r="AO344" s="31" t="n">
        <v>608825</v>
      </c>
      <c r="AP344" s="32"/>
    </row>
    <row r="345" customFormat="false" ht="15" hidden="false" customHeight="false" outlineLevel="0" collapsed="false">
      <c r="AN345" s="23" t="s">
        <v>2019</v>
      </c>
      <c r="AO345" s="31" t="n">
        <v>606789</v>
      </c>
      <c r="AP345" s="32"/>
    </row>
    <row r="346" customFormat="false" ht="15" hidden="false" customHeight="false" outlineLevel="0" collapsed="false">
      <c r="AN346" s="23" t="s">
        <v>2020</v>
      </c>
      <c r="AO346" s="31" t="n">
        <v>617880</v>
      </c>
      <c r="AP346" s="32"/>
    </row>
    <row r="347" customFormat="false" ht="15" hidden="false" customHeight="false" outlineLevel="0" collapsed="false">
      <c r="AN347" s="23" t="s">
        <v>2021</v>
      </c>
      <c r="AO347" s="31" t="n">
        <v>608464</v>
      </c>
      <c r="AP347" s="32"/>
    </row>
    <row r="348" customFormat="false" ht="15" hidden="false" customHeight="false" outlineLevel="0" collapsed="false">
      <c r="AN348" s="23" t="s">
        <v>2022</v>
      </c>
      <c r="AO348" s="31" t="n">
        <v>568108</v>
      </c>
      <c r="AP348" s="32"/>
    </row>
    <row r="349" customFormat="false" ht="15" hidden="false" customHeight="false" outlineLevel="0" collapsed="false">
      <c r="AN349" s="23" t="s">
        <v>2023</v>
      </c>
      <c r="AO349" s="31" t="n">
        <v>567474</v>
      </c>
      <c r="AP349" s="32"/>
    </row>
    <row r="350" customFormat="false" ht="15" hidden="false" customHeight="false" outlineLevel="0" collapsed="false">
      <c r="AN350" s="23" t="s">
        <v>2024</v>
      </c>
      <c r="AO350" s="31" t="n">
        <v>571279</v>
      </c>
      <c r="AP350" s="32"/>
    </row>
    <row r="351" customFormat="false" ht="15" hidden="false" customHeight="false" outlineLevel="0" collapsed="false">
      <c r="AN351" s="23" t="s">
        <v>2025</v>
      </c>
      <c r="AO351" s="31" t="n">
        <v>553652</v>
      </c>
      <c r="AP351" s="32"/>
    </row>
    <row r="352" customFormat="false" ht="15" hidden="false" customHeight="false" outlineLevel="0" collapsed="false">
      <c r="AN352" s="23" t="s">
        <v>2026</v>
      </c>
      <c r="AO352" s="31" t="n">
        <v>563529</v>
      </c>
      <c r="AP352" s="32"/>
    </row>
    <row r="353" customFormat="false" ht="15" hidden="false" customHeight="false" outlineLevel="0" collapsed="false">
      <c r="AN353" s="23" t="s">
        <v>2027</v>
      </c>
      <c r="AO353" s="31" t="n">
        <v>572970</v>
      </c>
      <c r="AP353" s="32"/>
    </row>
    <row r="354" customFormat="false" ht="15" hidden="false" customHeight="false" outlineLevel="0" collapsed="false">
      <c r="AN354" s="23" t="s">
        <v>2028</v>
      </c>
      <c r="AO354" s="31" t="n">
        <v>609297</v>
      </c>
      <c r="AP354" s="32"/>
    </row>
    <row r="355" customFormat="false" ht="15" hidden="false" customHeight="false" outlineLevel="0" collapsed="false">
      <c r="AN355" s="23" t="s">
        <v>2029</v>
      </c>
      <c r="AO355" s="31" t="n">
        <v>479637</v>
      </c>
      <c r="AP355" s="32"/>
    </row>
    <row r="356" customFormat="false" ht="15" hidden="false" customHeight="false" outlineLevel="0" collapsed="false">
      <c r="AN356" s="23" t="s">
        <v>2030</v>
      </c>
      <c r="AO356" s="31" t="n">
        <v>563265</v>
      </c>
      <c r="AP356" s="32"/>
    </row>
    <row r="357" customFormat="false" ht="15" hidden="false" customHeight="false" outlineLevel="0" collapsed="false">
      <c r="AN357" s="23" t="s">
        <v>2031</v>
      </c>
      <c r="AO357" s="31" t="n">
        <v>556230</v>
      </c>
      <c r="AP357" s="32"/>
    </row>
    <row r="358" customFormat="false" ht="15" hidden="false" customHeight="false" outlineLevel="0" collapsed="false">
      <c r="AN358" s="23" t="s">
        <v>2032</v>
      </c>
      <c r="AO358" s="31" t="n">
        <v>563546</v>
      </c>
      <c r="AP358" s="32"/>
    </row>
    <row r="359" customFormat="false" ht="15" hidden="false" customHeight="false" outlineLevel="0" collapsed="false">
      <c r="AN359" s="23" t="s">
        <v>2033</v>
      </c>
      <c r="AO359" s="31" t="n">
        <v>555679</v>
      </c>
      <c r="AP359" s="32"/>
    </row>
    <row r="360" customFormat="false" ht="15" hidden="false" customHeight="false" outlineLevel="0" collapsed="false">
      <c r="AN360" s="23" t="s">
        <v>2034</v>
      </c>
      <c r="AO360" s="31" t="n">
        <v>555266</v>
      </c>
      <c r="AP360" s="32"/>
    </row>
    <row r="361" customFormat="false" ht="15" hidden="false" customHeight="false" outlineLevel="0" collapsed="false">
      <c r="AN361" s="23" t="s">
        <v>2035</v>
      </c>
      <c r="AO361" s="31" t="n">
        <v>572337</v>
      </c>
      <c r="AP361" s="32"/>
    </row>
    <row r="362" customFormat="false" ht="15" hidden="false" customHeight="false" outlineLevel="0" collapsed="false">
      <c r="AN362" s="23" t="s">
        <v>2036</v>
      </c>
      <c r="AO362" s="31" t="n">
        <v>238</v>
      </c>
      <c r="AP362" s="32"/>
    </row>
    <row r="363" customFormat="false" ht="15" hidden="false" customHeight="false" outlineLevel="0" collapsed="false">
      <c r="AN363" s="23" t="s">
        <v>2037</v>
      </c>
      <c r="AO363" s="31" t="n">
        <v>480430</v>
      </c>
      <c r="AP363" s="32"/>
    </row>
    <row r="364" customFormat="false" ht="15" hidden="false" customHeight="false" outlineLevel="0" collapsed="false">
      <c r="AN364" s="23" t="s">
        <v>2038</v>
      </c>
      <c r="AO364" s="31" t="n">
        <v>607219</v>
      </c>
      <c r="AP364" s="32"/>
    </row>
    <row r="365" customFormat="false" ht="15" hidden="false" customHeight="false" outlineLevel="0" collapsed="false">
      <c r="AN365" s="23" t="s">
        <v>2039</v>
      </c>
      <c r="AO365" s="31" t="n">
        <v>607218</v>
      </c>
      <c r="AP365" s="32"/>
    </row>
    <row r="366" customFormat="false" ht="15" hidden="false" customHeight="false" outlineLevel="0" collapsed="false">
      <c r="AN366" s="23" t="s">
        <v>2040</v>
      </c>
      <c r="AO366" s="31" t="n">
        <v>617921</v>
      </c>
      <c r="AP366" s="32"/>
    </row>
    <row r="367" customFormat="false" ht="15" hidden="false" customHeight="false" outlineLevel="0" collapsed="false">
      <c r="AN367" s="23" t="s">
        <v>2041</v>
      </c>
      <c r="AO367" s="31" t="n">
        <v>339079</v>
      </c>
      <c r="AP367" s="32"/>
    </row>
    <row r="368" customFormat="false" ht="15" hidden="false" customHeight="false" outlineLevel="0" collapsed="false">
      <c r="AN368" s="23" t="s">
        <v>2042</v>
      </c>
      <c r="AO368" s="31" t="n">
        <v>566511</v>
      </c>
      <c r="AP368" s="32"/>
    </row>
    <row r="369" customFormat="false" ht="15" hidden="false" customHeight="false" outlineLevel="0" collapsed="false">
      <c r="AN369" s="23" t="s">
        <v>2043</v>
      </c>
      <c r="AO369" s="31" t="n">
        <v>570016</v>
      </c>
      <c r="AP369" s="32"/>
    </row>
    <row r="370" customFormat="false" ht="15" hidden="false" customHeight="false" outlineLevel="0" collapsed="false">
      <c r="AN370" s="23" t="s">
        <v>2044</v>
      </c>
      <c r="AO370" s="31" t="n">
        <v>563783</v>
      </c>
      <c r="AP370" s="32"/>
    </row>
    <row r="371" customFormat="false" ht="15" hidden="false" customHeight="false" outlineLevel="0" collapsed="false">
      <c r="AN371" s="23" t="s">
        <v>2045</v>
      </c>
      <c r="AO371" s="31" t="n">
        <v>567798</v>
      </c>
      <c r="AP371" s="32"/>
    </row>
    <row r="372" customFormat="false" ht="15" hidden="false" customHeight="false" outlineLevel="0" collapsed="false">
      <c r="AN372" s="23" t="s">
        <v>2046</v>
      </c>
      <c r="AO372" s="31" t="n">
        <v>555302</v>
      </c>
      <c r="AP372" s="32"/>
    </row>
    <row r="373" customFormat="false" ht="15" hidden="false" customHeight="false" outlineLevel="0" collapsed="false">
      <c r="AN373" s="23" t="s">
        <v>2047</v>
      </c>
      <c r="AO373" s="31" t="n">
        <v>608349</v>
      </c>
      <c r="AP373" s="32"/>
    </row>
    <row r="374" customFormat="false" ht="15" hidden="false" customHeight="false" outlineLevel="0" collapsed="false">
      <c r="AN374" s="23" t="s">
        <v>2048</v>
      </c>
      <c r="AO374" s="31" t="n">
        <v>565875</v>
      </c>
      <c r="AP374" s="32"/>
    </row>
    <row r="375" customFormat="false" ht="15" hidden="false" customHeight="false" outlineLevel="0" collapsed="false">
      <c r="AN375" s="23" t="s">
        <v>2049</v>
      </c>
      <c r="AO375" s="31" t="n">
        <v>564024</v>
      </c>
      <c r="AP375" s="32"/>
    </row>
    <row r="376" customFormat="false" ht="15" hidden="false" customHeight="false" outlineLevel="0" collapsed="false">
      <c r="AN376" s="23" t="s">
        <v>2050</v>
      </c>
      <c r="AO376" s="31" t="n">
        <v>545801</v>
      </c>
      <c r="AP376" s="32"/>
    </row>
    <row r="377" customFormat="false" ht="15" hidden="false" customHeight="false" outlineLevel="0" collapsed="false">
      <c r="AN377" s="23" t="s">
        <v>2051</v>
      </c>
      <c r="AO377" s="31" t="n">
        <v>545959</v>
      </c>
      <c r="AP377" s="32"/>
    </row>
    <row r="378" customFormat="false" ht="15" hidden="false" customHeight="false" outlineLevel="0" collapsed="false">
      <c r="AN378" s="23" t="s">
        <v>2052</v>
      </c>
      <c r="AO378" s="31" t="n">
        <v>572629</v>
      </c>
      <c r="AP378" s="32"/>
    </row>
    <row r="379" customFormat="false" ht="15" hidden="false" customHeight="false" outlineLevel="0" collapsed="false">
      <c r="AN379" s="23" t="s">
        <v>2053</v>
      </c>
      <c r="AO379" s="31" t="n">
        <v>339086</v>
      </c>
      <c r="AP379" s="32"/>
    </row>
    <row r="380" customFormat="false" ht="15" hidden="false" customHeight="false" outlineLevel="0" collapsed="false">
      <c r="AN380" s="23" t="s">
        <v>2054</v>
      </c>
      <c r="AO380" s="31" t="n">
        <v>616009</v>
      </c>
      <c r="AP380" s="32"/>
    </row>
    <row r="381" customFormat="false" ht="15" hidden="false" customHeight="false" outlineLevel="0" collapsed="false">
      <c r="AN381" s="23" t="s">
        <v>2055</v>
      </c>
      <c r="AO381" s="31" t="n">
        <v>615997</v>
      </c>
      <c r="AP381" s="32"/>
    </row>
    <row r="382" customFormat="false" ht="15" hidden="false" customHeight="false" outlineLevel="0" collapsed="false">
      <c r="AN382" s="23" t="s">
        <v>2056</v>
      </c>
      <c r="AO382" s="31" t="n">
        <v>567908</v>
      </c>
      <c r="AP382" s="32"/>
    </row>
    <row r="383" customFormat="false" ht="15" hidden="false" customHeight="false" outlineLevel="0" collapsed="false">
      <c r="AN383" s="23" t="s">
        <v>2057</v>
      </c>
      <c r="AO383" s="31" t="n">
        <v>477763</v>
      </c>
      <c r="AP383" s="32"/>
    </row>
    <row r="384" customFormat="false" ht="15" hidden="false" customHeight="false" outlineLevel="0" collapsed="false">
      <c r="AN384" s="23" t="s">
        <v>2058</v>
      </c>
      <c r="AO384" s="31" t="n">
        <v>618922</v>
      </c>
      <c r="AP384" s="32"/>
    </row>
    <row r="385" customFormat="false" ht="15" hidden="false" customHeight="false" outlineLevel="0" collapsed="false">
      <c r="AN385" s="23" t="s">
        <v>2059</v>
      </c>
      <c r="AO385" s="31" t="n">
        <v>435450</v>
      </c>
      <c r="AP385" s="32"/>
    </row>
    <row r="386" customFormat="false" ht="15" hidden="false" customHeight="false" outlineLevel="0" collapsed="false">
      <c r="AN386" s="23" t="s">
        <v>2060</v>
      </c>
      <c r="AO386" s="31" t="n">
        <v>451503</v>
      </c>
      <c r="AP386" s="32"/>
    </row>
    <row r="387" customFormat="false" ht="15" hidden="false" customHeight="false" outlineLevel="0" collapsed="false">
      <c r="AN387" s="23" t="s">
        <v>2061</v>
      </c>
      <c r="AO387" s="31" t="n">
        <v>607921</v>
      </c>
      <c r="AP387" s="32"/>
    </row>
    <row r="388" customFormat="false" ht="15" hidden="false" customHeight="false" outlineLevel="0" collapsed="false">
      <c r="AN388" s="23" t="s">
        <v>2062</v>
      </c>
      <c r="AO388" s="31" t="n">
        <v>569671</v>
      </c>
      <c r="AP388" s="32"/>
    </row>
    <row r="389" customFormat="false" ht="15" hidden="false" customHeight="false" outlineLevel="0" collapsed="false">
      <c r="AN389" s="23" t="s">
        <v>2063</v>
      </c>
      <c r="AO389" s="31" t="n">
        <v>564023</v>
      </c>
      <c r="AP389" s="32"/>
    </row>
    <row r="390" customFormat="false" ht="15" hidden="false" customHeight="false" outlineLevel="0" collapsed="false">
      <c r="AN390" s="23" t="s">
        <v>2064</v>
      </c>
      <c r="AO390" s="31" t="n">
        <v>572563</v>
      </c>
      <c r="AP390" s="32"/>
    </row>
    <row r="391" customFormat="false" ht="15" hidden="false" customHeight="false" outlineLevel="0" collapsed="false">
      <c r="AN391" s="23" t="s">
        <v>2065</v>
      </c>
      <c r="AO391" s="31" t="n">
        <v>556470</v>
      </c>
      <c r="AP391" s="32"/>
    </row>
    <row r="392" customFormat="false" ht="15" hidden="false" customHeight="false" outlineLevel="0" collapsed="false">
      <c r="AN392" s="23" t="s">
        <v>2066</v>
      </c>
      <c r="AO392" s="31" t="n">
        <v>555254</v>
      </c>
      <c r="AP392" s="32"/>
    </row>
    <row r="393" customFormat="false" ht="15" hidden="false" customHeight="false" outlineLevel="0" collapsed="false">
      <c r="AN393" s="23" t="s">
        <v>2067</v>
      </c>
      <c r="AO393" s="31" t="n">
        <v>555247</v>
      </c>
      <c r="AP393" s="32"/>
    </row>
    <row r="394" customFormat="false" ht="15" hidden="false" customHeight="false" outlineLevel="0" collapsed="false">
      <c r="AN394" s="23" t="s">
        <v>2068</v>
      </c>
      <c r="AO394" s="31" t="n">
        <v>555251</v>
      </c>
      <c r="AP394" s="32"/>
    </row>
    <row r="395" customFormat="false" ht="15" hidden="false" customHeight="false" outlineLevel="0" collapsed="false">
      <c r="AN395" s="23" t="s">
        <v>2069</v>
      </c>
      <c r="AO395" s="31" t="n">
        <v>568177</v>
      </c>
      <c r="AP395" s="32"/>
    </row>
    <row r="396" customFormat="false" ht="15" hidden="false" customHeight="false" outlineLevel="0" collapsed="false">
      <c r="AN396" s="23" t="s">
        <v>2070</v>
      </c>
      <c r="AO396" s="31" t="n">
        <v>555238</v>
      </c>
      <c r="AP396" s="32"/>
    </row>
    <row r="397" customFormat="false" ht="15" hidden="false" customHeight="false" outlineLevel="0" collapsed="false">
      <c r="AN397" s="23" t="s">
        <v>2071</v>
      </c>
      <c r="AO397" s="31" t="n">
        <v>497143</v>
      </c>
      <c r="AP397" s="32"/>
    </row>
    <row r="398" customFormat="false" ht="15" hidden="false" customHeight="false" outlineLevel="0" collapsed="false">
      <c r="AN398" s="23" t="s">
        <v>2072</v>
      </c>
      <c r="AO398" s="31" t="n">
        <v>607654</v>
      </c>
      <c r="AP398" s="32"/>
    </row>
    <row r="399" customFormat="false" ht="15" hidden="false" customHeight="false" outlineLevel="0" collapsed="false">
      <c r="AN399" s="23" t="s">
        <v>2073</v>
      </c>
      <c r="AO399" s="31" t="n">
        <v>572156</v>
      </c>
      <c r="AP399" s="32"/>
    </row>
    <row r="400" customFormat="false" ht="15" hidden="false" customHeight="false" outlineLevel="0" collapsed="false">
      <c r="AN400" s="23" t="s">
        <v>2074</v>
      </c>
      <c r="AO400" s="31" t="n">
        <v>563889</v>
      </c>
      <c r="AP400" s="32"/>
    </row>
    <row r="401" customFormat="false" ht="15" hidden="false" customHeight="false" outlineLevel="0" collapsed="false">
      <c r="AN401" s="23" t="s">
        <v>2075</v>
      </c>
      <c r="AO401" s="31" t="n">
        <v>564021</v>
      </c>
      <c r="AP401" s="32"/>
    </row>
    <row r="402" customFormat="false" ht="15" hidden="false" customHeight="false" outlineLevel="0" collapsed="false">
      <c r="AN402" s="23" t="s">
        <v>2076</v>
      </c>
      <c r="AO402" s="31" t="n">
        <v>563876</v>
      </c>
      <c r="AP402" s="32"/>
    </row>
    <row r="403" customFormat="false" ht="15" hidden="false" customHeight="false" outlineLevel="0" collapsed="false">
      <c r="AN403" s="23" t="s">
        <v>2077</v>
      </c>
      <c r="AO403" s="31" t="n">
        <v>608313</v>
      </c>
      <c r="AP403" s="32"/>
    </row>
    <row r="404" customFormat="false" ht="15" hidden="false" customHeight="false" outlineLevel="0" collapsed="false">
      <c r="AN404" s="23" t="s">
        <v>2078</v>
      </c>
      <c r="AO404" s="31" t="n">
        <v>616898</v>
      </c>
      <c r="AP404" s="32"/>
    </row>
    <row r="405" customFormat="false" ht="15" hidden="false" customHeight="false" outlineLevel="0" collapsed="false">
      <c r="AN405" s="23" t="s">
        <v>2079</v>
      </c>
      <c r="AO405" s="31" t="n">
        <v>492103</v>
      </c>
      <c r="AP405" s="32"/>
    </row>
    <row r="406" customFormat="false" ht="15" hidden="false" customHeight="false" outlineLevel="0" collapsed="false">
      <c r="AN406" s="23" t="s">
        <v>2080</v>
      </c>
      <c r="AO406" s="31" t="n">
        <v>494556</v>
      </c>
      <c r="AP406" s="32"/>
    </row>
    <row r="407" customFormat="false" ht="15" hidden="false" customHeight="false" outlineLevel="0" collapsed="false">
      <c r="AN407" s="23" t="s">
        <v>2081</v>
      </c>
      <c r="AO407" s="31" t="n">
        <v>492105</v>
      </c>
      <c r="AP407" s="32"/>
    </row>
    <row r="408" customFormat="false" ht="15" hidden="false" customHeight="false" outlineLevel="0" collapsed="false">
      <c r="AN408" s="23" t="s">
        <v>2082</v>
      </c>
      <c r="AO408" s="31" t="n">
        <v>492104</v>
      </c>
      <c r="AP408" s="32"/>
    </row>
    <row r="409" customFormat="false" ht="15" hidden="false" customHeight="false" outlineLevel="0" collapsed="false">
      <c r="AN409" s="23" t="s">
        <v>2083</v>
      </c>
      <c r="AO409" s="31" t="n">
        <v>492101</v>
      </c>
      <c r="AP409" s="32"/>
    </row>
    <row r="410" customFormat="false" ht="15" hidden="false" customHeight="false" outlineLevel="0" collapsed="false">
      <c r="AN410" s="23" t="s">
        <v>2084</v>
      </c>
      <c r="AO410" s="31" t="n">
        <v>492102</v>
      </c>
      <c r="AP410" s="32"/>
    </row>
    <row r="411" customFormat="false" ht="15" hidden="false" customHeight="false" outlineLevel="0" collapsed="false">
      <c r="AN411" s="23" t="s">
        <v>2085</v>
      </c>
      <c r="AO411" s="31" t="n">
        <v>565928</v>
      </c>
      <c r="AP411" s="32"/>
    </row>
    <row r="412" customFormat="false" ht="15" hidden="false" customHeight="false" outlineLevel="0" collapsed="false">
      <c r="AN412" s="23" t="s">
        <v>2086</v>
      </c>
      <c r="AO412" s="31" t="n">
        <v>555784</v>
      </c>
      <c r="AP412" s="32"/>
    </row>
    <row r="413" customFormat="false" ht="15" hidden="false" customHeight="false" outlineLevel="0" collapsed="false">
      <c r="AN413" s="23" t="s">
        <v>2087</v>
      </c>
      <c r="AO413" s="31" t="n">
        <v>459300</v>
      </c>
      <c r="AP413" s="32"/>
    </row>
    <row r="414" customFormat="false" ht="15" hidden="false" customHeight="false" outlineLevel="0" collapsed="false">
      <c r="AN414" s="23" t="s">
        <v>2088</v>
      </c>
      <c r="AO414" s="31" t="n">
        <v>553634</v>
      </c>
      <c r="AP414" s="32"/>
    </row>
    <row r="415" customFormat="false" ht="15" hidden="false" customHeight="false" outlineLevel="0" collapsed="false">
      <c r="AN415" s="23" t="s">
        <v>2089</v>
      </c>
      <c r="AO415" s="31" t="n">
        <v>607770</v>
      </c>
      <c r="AP415" s="32"/>
    </row>
    <row r="416" customFormat="false" ht="15" hidden="false" customHeight="false" outlineLevel="0" collapsed="false">
      <c r="AN416" s="23" t="s">
        <v>2090</v>
      </c>
      <c r="AO416" s="31" t="n">
        <v>564026</v>
      </c>
      <c r="AP416" s="32"/>
    </row>
    <row r="417" customFormat="false" ht="15" hidden="false" customHeight="false" outlineLevel="0" collapsed="false">
      <c r="AN417" s="23" t="s">
        <v>2091</v>
      </c>
      <c r="AO417" s="31" t="n">
        <v>234</v>
      </c>
      <c r="AP417" s="32"/>
    </row>
    <row r="418" customFormat="false" ht="15" hidden="false" customHeight="false" outlineLevel="0" collapsed="false">
      <c r="AN418" s="23" t="s">
        <v>2092</v>
      </c>
      <c r="AO418" s="31" t="n">
        <v>609626</v>
      </c>
      <c r="AP418" s="32"/>
    </row>
    <row r="419" customFormat="false" ht="15" hidden="false" customHeight="false" outlineLevel="0" collapsed="false">
      <c r="AN419" s="23" t="s">
        <v>2093</v>
      </c>
      <c r="AO419" s="31" t="n">
        <v>572558</v>
      </c>
      <c r="AP419" s="32"/>
    </row>
    <row r="420" customFormat="false" ht="15" hidden="false" customHeight="false" outlineLevel="0" collapsed="false">
      <c r="AN420" s="23" t="s">
        <v>2094</v>
      </c>
      <c r="AO420" s="31" t="n">
        <v>617108</v>
      </c>
      <c r="AP420" s="32"/>
    </row>
    <row r="421" customFormat="false" ht="15" hidden="false" customHeight="false" outlineLevel="0" collapsed="false">
      <c r="AN421" s="23" t="s">
        <v>2095</v>
      </c>
      <c r="AO421" s="31" t="n">
        <v>556364</v>
      </c>
      <c r="AP421" s="32"/>
    </row>
    <row r="422" customFormat="false" ht="15" hidden="false" customHeight="false" outlineLevel="0" collapsed="false">
      <c r="AN422" s="23" t="s">
        <v>2096</v>
      </c>
      <c r="AO422" s="31" t="n">
        <v>615564</v>
      </c>
      <c r="AP422" s="32"/>
    </row>
    <row r="423" customFormat="false" ht="15" hidden="false" customHeight="false" outlineLevel="0" collapsed="false">
      <c r="AN423" s="23" t="s">
        <v>2097</v>
      </c>
      <c r="AO423" s="31" t="n">
        <v>611906</v>
      </c>
      <c r="AP423" s="32"/>
    </row>
    <row r="424" customFormat="false" ht="15" hidden="false" customHeight="false" outlineLevel="0" collapsed="false">
      <c r="AN424" s="23" t="s">
        <v>2098</v>
      </c>
      <c r="AO424" s="31" t="n">
        <v>556757</v>
      </c>
      <c r="AP424" s="32"/>
    </row>
    <row r="425" customFormat="false" ht="15" hidden="false" customHeight="false" outlineLevel="0" collapsed="false">
      <c r="AN425" s="23" t="s">
        <v>2099</v>
      </c>
      <c r="AO425" s="31" t="n">
        <v>136260</v>
      </c>
      <c r="AP425" s="32"/>
    </row>
    <row r="426" customFormat="false" ht="15" hidden="false" customHeight="false" outlineLevel="0" collapsed="false">
      <c r="AN426" s="23" t="s">
        <v>2100</v>
      </c>
      <c r="AO426" s="31" t="n">
        <v>607414</v>
      </c>
      <c r="AP426" s="32"/>
    </row>
    <row r="427" customFormat="false" ht="15" hidden="false" customHeight="false" outlineLevel="0" collapsed="false">
      <c r="AN427" s="23" t="s">
        <v>2101</v>
      </c>
      <c r="AO427" s="31" t="n">
        <v>609335</v>
      </c>
      <c r="AP427" s="32"/>
    </row>
    <row r="428" customFormat="false" ht="15" hidden="false" customHeight="false" outlineLevel="0" collapsed="false">
      <c r="AN428" s="23" t="s">
        <v>2102</v>
      </c>
      <c r="AO428" s="31" t="n">
        <v>607558</v>
      </c>
      <c r="AP428" s="32"/>
    </row>
    <row r="429" customFormat="false" ht="15" hidden="false" customHeight="false" outlineLevel="0" collapsed="false">
      <c r="AN429" s="23" t="s">
        <v>2103</v>
      </c>
      <c r="AO429" s="31" t="n">
        <v>617825</v>
      </c>
      <c r="AP429" s="32"/>
    </row>
    <row r="430" customFormat="false" ht="15" hidden="false" customHeight="false" outlineLevel="0" collapsed="false">
      <c r="AN430" s="23" t="s">
        <v>2104</v>
      </c>
      <c r="AO430" s="31" t="n">
        <v>607557</v>
      </c>
      <c r="AP430" s="32"/>
    </row>
    <row r="431" customFormat="false" ht="15" hidden="false" customHeight="false" outlineLevel="0" collapsed="false">
      <c r="AN431" s="23" t="s">
        <v>2105</v>
      </c>
      <c r="AO431" s="31" t="n">
        <v>580169</v>
      </c>
      <c r="AP431" s="32"/>
    </row>
    <row r="432" customFormat="false" ht="15" hidden="false" customHeight="false" outlineLevel="0" collapsed="false">
      <c r="AN432" s="23" t="s">
        <v>2106</v>
      </c>
      <c r="AO432" s="31" t="n">
        <v>480400</v>
      </c>
      <c r="AP432" s="32"/>
    </row>
    <row r="433" customFormat="false" ht="15" hidden="false" customHeight="false" outlineLevel="0" collapsed="false">
      <c r="AN433" s="23" t="s">
        <v>2107</v>
      </c>
      <c r="AO433" s="31" t="n">
        <v>567263</v>
      </c>
      <c r="AP433" s="32"/>
    </row>
    <row r="434" customFormat="false" ht="15" hidden="false" customHeight="false" outlineLevel="0" collapsed="false">
      <c r="AN434" s="23" t="s">
        <v>2108</v>
      </c>
      <c r="AO434" s="31" t="n">
        <v>110</v>
      </c>
      <c r="AP434" s="32"/>
    </row>
    <row r="435" customFormat="false" ht="15" hidden="false" customHeight="false" outlineLevel="0" collapsed="false">
      <c r="AN435" s="23" t="s">
        <v>2109</v>
      </c>
      <c r="AO435" s="31" t="n">
        <v>616869</v>
      </c>
      <c r="AP435" s="32"/>
    </row>
    <row r="436" customFormat="false" ht="15" hidden="false" customHeight="false" outlineLevel="0" collapsed="false">
      <c r="AN436" s="23" t="s">
        <v>2110</v>
      </c>
      <c r="AO436" s="31" t="n">
        <v>584936</v>
      </c>
      <c r="AP436" s="32"/>
    </row>
    <row r="437" customFormat="false" ht="15" hidden="false" customHeight="false" outlineLevel="0" collapsed="false">
      <c r="AN437" s="23" t="s">
        <v>2111</v>
      </c>
      <c r="AO437" s="31" t="n">
        <v>567475</v>
      </c>
      <c r="AP437" s="32"/>
    </row>
    <row r="438" customFormat="false" ht="15" hidden="false" customHeight="false" outlineLevel="0" collapsed="false">
      <c r="AN438" s="23" t="s">
        <v>2112</v>
      </c>
      <c r="AO438" s="31" t="n">
        <v>568045</v>
      </c>
      <c r="AP438" s="32"/>
    </row>
    <row r="439" customFormat="false" ht="15" hidden="false" customHeight="false" outlineLevel="0" collapsed="false">
      <c r="AN439" s="23" t="s">
        <v>2113</v>
      </c>
      <c r="AO439" s="31" t="n">
        <v>617156</v>
      </c>
      <c r="AP439" s="32"/>
    </row>
    <row r="440" customFormat="false" ht="15" hidden="false" customHeight="false" outlineLevel="0" collapsed="false">
      <c r="AN440" s="23" t="s">
        <v>2114</v>
      </c>
      <c r="AO440" s="31" t="n">
        <v>568044</v>
      </c>
      <c r="AP440" s="32"/>
    </row>
    <row r="441" customFormat="false" ht="15" hidden="false" customHeight="false" outlineLevel="0" collapsed="false">
      <c r="AN441" s="23" t="s">
        <v>2115</v>
      </c>
      <c r="AO441" s="31" t="n">
        <v>617579</v>
      </c>
      <c r="AP441" s="32"/>
    </row>
    <row r="442" customFormat="false" ht="15" hidden="false" customHeight="false" outlineLevel="0" collapsed="false">
      <c r="AN442" s="23" t="s">
        <v>2116</v>
      </c>
      <c r="AO442" s="31" t="n">
        <v>563321</v>
      </c>
      <c r="AP442" s="32"/>
    </row>
    <row r="443" customFormat="false" ht="15" hidden="false" customHeight="false" outlineLevel="0" collapsed="false">
      <c r="AN443" s="23" t="s">
        <v>2117</v>
      </c>
      <c r="AO443" s="31" t="n">
        <v>563322</v>
      </c>
      <c r="AP443" s="32"/>
    </row>
    <row r="444" customFormat="false" ht="15" hidden="false" customHeight="false" outlineLevel="0" collapsed="false">
      <c r="AN444" s="23" t="s">
        <v>2118</v>
      </c>
      <c r="AO444" s="31" t="n">
        <v>611868</v>
      </c>
      <c r="AP444" s="32"/>
    </row>
    <row r="445" customFormat="false" ht="15" hidden="false" customHeight="false" outlineLevel="0" collapsed="false">
      <c r="AN445" s="23" t="s">
        <v>2119</v>
      </c>
      <c r="AO445" s="31" t="n">
        <v>611867</v>
      </c>
      <c r="AP445" s="32"/>
    </row>
    <row r="446" customFormat="false" ht="15" hidden="false" customHeight="false" outlineLevel="0" collapsed="false">
      <c r="AN446" s="23" t="s">
        <v>2120</v>
      </c>
      <c r="AO446" s="31" t="n">
        <v>563320</v>
      </c>
      <c r="AP446" s="32"/>
    </row>
    <row r="447" customFormat="false" ht="15" hidden="false" customHeight="false" outlineLevel="0" collapsed="false">
      <c r="AN447" s="23" t="s">
        <v>2121</v>
      </c>
      <c r="AO447" s="31" t="n">
        <v>571283</v>
      </c>
      <c r="AP447" s="32"/>
    </row>
    <row r="448" customFormat="false" ht="15" hidden="false" customHeight="false" outlineLevel="0" collapsed="false">
      <c r="AN448" s="23" t="s">
        <v>2122</v>
      </c>
      <c r="AO448" s="31" t="n">
        <v>570015</v>
      </c>
      <c r="AP448" s="32"/>
    </row>
    <row r="449" customFormat="false" ht="15" hidden="false" customHeight="false" outlineLevel="0" collapsed="false">
      <c r="AN449" s="23" t="s">
        <v>2123</v>
      </c>
      <c r="AO449" s="31" t="n">
        <v>617053</v>
      </c>
      <c r="AP449" s="32"/>
    </row>
    <row r="450" customFormat="false" ht="15" hidden="false" customHeight="false" outlineLevel="0" collapsed="false">
      <c r="AN450" s="23" t="s">
        <v>2124</v>
      </c>
      <c r="AO450" s="31" t="n">
        <v>555259</v>
      </c>
      <c r="AP450" s="32"/>
    </row>
    <row r="451" customFormat="false" ht="15" hidden="false" customHeight="false" outlineLevel="0" collapsed="false">
      <c r="AN451" s="23" t="s">
        <v>2125</v>
      </c>
      <c r="AO451" s="31" t="n">
        <v>486282</v>
      </c>
      <c r="AP451" s="32"/>
    </row>
    <row r="452" customFormat="false" ht="15" hidden="false" customHeight="false" outlineLevel="0" collapsed="false">
      <c r="AN452" s="23" t="s">
        <v>2126</v>
      </c>
      <c r="AO452" s="31" t="n">
        <v>556233</v>
      </c>
      <c r="AP452" s="32"/>
    </row>
    <row r="453" customFormat="false" ht="15" hidden="false" customHeight="false" outlineLevel="0" collapsed="false">
      <c r="AN453" s="23" t="s">
        <v>2127</v>
      </c>
      <c r="AO453" s="31" t="n">
        <v>557234</v>
      </c>
      <c r="AP453" s="32"/>
    </row>
    <row r="454" customFormat="false" ht="15" hidden="false" customHeight="false" outlineLevel="0" collapsed="false">
      <c r="AN454" s="23" t="s">
        <v>2128</v>
      </c>
      <c r="AO454" s="31" t="n">
        <v>417797</v>
      </c>
      <c r="AP454" s="32"/>
    </row>
    <row r="455" customFormat="false" ht="15" hidden="false" customHeight="false" outlineLevel="0" collapsed="false">
      <c r="AN455" s="23" t="s">
        <v>2129</v>
      </c>
      <c r="AO455" s="31" t="n">
        <v>545791</v>
      </c>
      <c r="AP455" s="32"/>
    </row>
    <row r="456" customFormat="false" ht="15" hidden="false" customHeight="false" outlineLevel="0" collapsed="false">
      <c r="AN456" s="23" t="s">
        <v>2130</v>
      </c>
      <c r="AO456" s="31" t="n">
        <v>545792</v>
      </c>
      <c r="AP456" s="32"/>
    </row>
    <row r="457" customFormat="false" ht="15" hidden="false" customHeight="false" outlineLevel="0" collapsed="false">
      <c r="AN457" s="23" t="s">
        <v>2131</v>
      </c>
      <c r="AO457" s="31" t="n">
        <v>545793</v>
      </c>
      <c r="AP457" s="32"/>
    </row>
    <row r="458" customFormat="false" ht="15" hidden="false" customHeight="false" outlineLevel="0" collapsed="false">
      <c r="AN458" s="23" t="s">
        <v>2132</v>
      </c>
      <c r="AO458" s="31" t="n">
        <v>545784</v>
      </c>
      <c r="AP458" s="32"/>
    </row>
    <row r="459" customFormat="false" ht="15" hidden="false" customHeight="false" outlineLevel="0" collapsed="false">
      <c r="AN459" s="23" t="s">
        <v>2133</v>
      </c>
      <c r="AO459" s="31" t="n">
        <v>568123</v>
      </c>
      <c r="AP459" s="32"/>
    </row>
    <row r="460" customFormat="false" ht="15" hidden="false" customHeight="false" outlineLevel="0" collapsed="false">
      <c r="AN460" s="23" t="s">
        <v>2134</v>
      </c>
      <c r="AO460" s="31" t="n">
        <v>479642</v>
      </c>
      <c r="AP460" s="32"/>
    </row>
    <row r="461" customFormat="false" ht="15" hidden="false" customHeight="false" outlineLevel="0" collapsed="false">
      <c r="AN461" s="23" t="s">
        <v>2135</v>
      </c>
      <c r="AO461" s="31" t="n">
        <v>615180</v>
      </c>
      <c r="AP461" s="32"/>
    </row>
    <row r="462" customFormat="false" ht="15" hidden="false" customHeight="false" outlineLevel="0" collapsed="false">
      <c r="AN462" s="23" t="s">
        <v>2136</v>
      </c>
      <c r="AO462" s="31" t="n">
        <v>615181</v>
      </c>
      <c r="AP462" s="32"/>
    </row>
    <row r="463" customFormat="false" ht="15" hidden="false" customHeight="false" outlineLevel="0" collapsed="false">
      <c r="AN463" s="23" t="s">
        <v>2137</v>
      </c>
      <c r="AO463" s="31" t="n">
        <v>556143</v>
      </c>
      <c r="AP463" s="32"/>
    </row>
    <row r="464" customFormat="false" ht="15" hidden="false" customHeight="false" outlineLevel="0" collapsed="false">
      <c r="AN464" s="23" t="s">
        <v>2138</v>
      </c>
      <c r="AO464" s="31" t="n">
        <v>607515</v>
      </c>
      <c r="AP464" s="32"/>
    </row>
    <row r="465" customFormat="false" ht="15" hidden="false" customHeight="false" outlineLevel="0" collapsed="false">
      <c r="AN465" s="23" t="s">
        <v>2139</v>
      </c>
      <c r="AO465" s="31" t="n">
        <v>556129</v>
      </c>
      <c r="AP465" s="32"/>
    </row>
    <row r="466" customFormat="false" ht="15" hidden="false" customHeight="false" outlineLevel="0" collapsed="false">
      <c r="AN466" s="23" t="s">
        <v>2140</v>
      </c>
      <c r="AO466" s="31" t="n">
        <v>607787</v>
      </c>
      <c r="AP466" s="32"/>
    </row>
    <row r="467" customFormat="false" ht="15" hidden="false" customHeight="false" outlineLevel="0" collapsed="false">
      <c r="AN467" s="23" t="s">
        <v>2141</v>
      </c>
      <c r="AO467" s="31" t="n">
        <v>563886</v>
      </c>
      <c r="AP467" s="32"/>
    </row>
    <row r="468" customFormat="false" ht="15" hidden="false" customHeight="false" outlineLevel="0" collapsed="false">
      <c r="AN468" s="23" t="s">
        <v>2142</v>
      </c>
      <c r="AO468" s="31" t="n">
        <v>563887</v>
      </c>
      <c r="AP468" s="32"/>
    </row>
    <row r="469" customFormat="false" ht="15" hidden="false" customHeight="false" outlineLevel="0" collapsed="false">
      <c r="AN469" s="23" t="s">
        <v>2143</v>
      </c>
      <c r="AO469" s="31" t="n">
        <v>611468</v>
      </c>
      <c r="AP469" s="32"/>
    </row>
    <row r="470" customFormat="false" ht="15" hidden="false" customHeight="false" outlineLevel="0" collapsed="false">
      <c r="AN470" s="23" t="s">
        <v>2144</v>
      </c>
      <c r="AO470" s="31" t="n">
        <v>618244</v>
      </c>
      <c r="AP470" s="32"/>
    </row>
    <row r="471" customFormat="false" ht="15" hidden="false" customHeight="false" outlineLevel="0" collapsed="false">
      <c r="AN471" s="23" t="s">
        <v>2145</v>
      </c>
      <c r="AO471" s="31" t="n">
        <v>617429</v>
      </c>
      <c r="AP471" s="32"/>
    </row>
    <row r="472" customFormat="false" ht="15" hidden="false" customHeight="false" outlineLevel="0" collapsed="false">
      <c r="AN472" s="23" t="s">
        <v>2146</v>
      </c>
      <c r="AO472" s="31" t="n">
        <v>609945</v>
      </c>
      <c r="AP472" s="32"/>
    </row>
    <row r="473" customFormat="false" ht="15" hidden="false" customHeight="false" outlineLevel="0" collapsed="false">
      <c r="AN473" s="23" t="s">
        <v>2147</v>
      </c>
      <c r="AO473" s="31" t="n">
        <v>573269</v>
      </c>
      <c r="AP473" s="32"/>
    </row>
    <row r="474" customFormat="false" ht="15" hidden="false" customHeight="false" outlineLevel="0" collapsed="false">
      <c r="AN474" s="23" t="s">
        <v>2148</v>
      </c>
      <c r="AO474" s="31" t="n">
        <v>607514</v>
      </c>
      <c r="AP474" s="32"/>
    </row>
    <row r="475" customFormat="false" ht="15" hidden="false" customHeight="false" outlineLevel="0" collapsed="false">
      <c r="AN475" s="23" t="s">
        <v>2149</v>
      </c>
      <c r="AO475" s="31" t="n">
        <v>101914</v>
      </c>
      <c r="AP475" s="32"/>
    </row>
    <row r="476" customFormat="false" ht="15" hidden="false" customHeight="false" outlineLevel="0" collapsed="false">
      <c r="AN476" s="23" t="s">
        <v>2150</v>
      </c>
      <c r="AO476" s="31" t="n">
        <v>572922</v>
      </c>
      <c r="AP476" s="32"/>
    </row>
    <row r="477" customFormat="false" ht="15" hidden="false" customHeight="false" outlineLevel="0" collapsed="false">
      <c r="AN477" s="23" t="s">
        <v>2151</v>
      </c>
      <c r="AO477" s="31" t="n">
        <v>564097</v>
      </c>
      <c r="AP477" s="32"/>
    </row>
    <row r="478" customFormat="false" ht="15" hidden="false" customHeight="false" outlineLevel="0" collapsed="false">
      <c r="AN478" s="23" t="s">
        <v>2152</v>
      </c>
      <c r="AO478" s="31" t="n">
        <v>563855</v>
      </c>
      <c r="AP478" s="32"/>
    </row>
    <row r="479" customFormat="false" ht="15" hidden="false" customHeight="false" outlineLevel="0" collapsed="false">
      <c r="AN479" s="23" t="s">
        <v>2153</v>
      </c>
      <c r="AO479" s="31" t="n">
        <v>568091</v>
      </c>
      <c r="AP479" s="32"/>
    </row>
    <row r="480" customFormat="false" ht="15" hidden="false" customHeight="false" outlineLevel="0" collapsed="false">
      <c r="AN480" s="23" t="s">
        <v>2154</v>
      </c>
      <c r="AO480" s="31" t="n">
        <v>609462</v>
      </c>
      <c r="AP480" s="32"/>
    </row>
    <row r="481" customFormat="false" ht="15" hidden="false" customHeight="false" outlineLevel="0" collapsed="false">
      <c r="AN481" s="23" t="s">
        <v>2155</v>
      </c>
      <c r="AO481" s="31" t="n">
        <v>555390</v>
      </c>
      <c r="AP481" s="32"/>
    </row>
    <row r="482" customFormat="false" ht="15" hidden="false" customHeight="false" outlineLevel="0" collapsed="false">
      <c r="AN482" s="23" t="s">
        <v>2156</v>
      </c>
      <c r="AO482" s="31" t="n">
        <v>563884</v>
      </c>
      <c r="AP482" s="32"/>
    </row>
    <row r="483" customFormat="false" ht="15" hidden="false" customHeight="false" outlineLevel="0" collapsed="false">
      <c r="AN483" s="23" t="s">
        <v>2157</v>
      </c>
      <c r="AO483" s="31" t="n">
        <v>339082</v>
      </c>
      <c r="AP483" s="32"/>
    </row>
    <row r="484" customFormat="false" ht="15" hidden="false" customHeight="false" outlineLevel="0" collapsed="false">
      <c r="AN484" s="23" t="s">
        <v>2158</v>
      </c>
      <c r="AO484" s="31" t="n">
        <v>573260</v>
      </c>
      <c r="AP484" s="32"/>
    </row>
    <row r="485" customFormat="false" ht="15" hidden="false" customHeight="false" outlineLevel="0" collapsed="false">
      <c r="AN485" s="23" t="s">
        <v>2159</v>
      </c>
      <c r="AO485" s="31" t="n">
        <v>569739</v>
      </c>
      <c r="AP485" s="32"/>
    </row>
    <row r="486" customFormat="false" ht="15" hidden="false" customHeight="false" outlineLevel="0" collapsed="false">
      <c r="AN486" s="23" t="s">
        <v>2160</v>
      </c>
      <c r="AO486" s="31" t="n">
        <v>607239</v>
      </c>
      <c r="AP486" s="32"/>
    </row>
    <row r="487" customFormat="false" ht="15" hidden="false" customHeight="false" outlineLevel="0" collapsed="false">
      <c r="AN487" s="23" t="s">
        <v>2161</v>
      </c>
      <c r="AO487" s="31" t="n">
        <v>553488</v>
      </c>
      <c r="AP487" s="32"/>
    </row>
    <row r="488" customFormat="false" ht="15" hidden="false" customHeight="false" outlineLevel="0" collapsed="false">
      <c r="AN488" s="23" t="s">
        <v>2162</v>
      </c>
      <c r="AO488" s="31" t="n">
        <v>608015</v>
      </c>
      <c r="AP488" s="32"/>
    </row>
    <row r="489" customFormat="false" ht="15" hidden="false" customHeight="false" outlineLevel="0" collapsed="false">
      <c r="AN489" s="23" t="s">
        <v>2163</v>
      </c>
      <c r="AO489" s="31" t="n">
        <v>556088</v>
      </c>
      <c r="AP489" s="32"/>
    </row>
    <row r="490" customFormat="false" ht="15" hidden="false" customHeight="false" outlineLevel="0" collapsed="false">
      <c r="AN490" s="23" t="s">
        <v>2164</v>
      </c>
      <c r="AO490" s="31" t="n">
        <v>480434</v>
      </c>
      <c r="AP490" s="32"/>
    </row>
    <row r="491" customFormat="false" ht="15" hidden="false" customHeight="false" outlineLevel="0" collapsed="false">
      <c r="AN491" s="23" t="s">
        <v>2165</v>
      </c>
      <c r="AO491" s="31" t="n">
        <v>563877</v>
      </c>
      <c r="AP491" s="32"/>
    </row>
    <row r="492" customFormat="false" ht="15" hidden="false" customHeight="false" outlineLevel="0" collapsed="false">
      <c r="AN492" s="23" t="s">
        <v>2166</v>
      </c>
      <c r="AO492" s="31" t="n">
        <v>568092</v>
      </c>
      <c r="AP492" s="32"/>
    </row>
    <row r="493" customFormat="false" ht="15" hidden="false" customHeight="false" outlineLevel="0" collapsed="false">
      <c r="AN493" s="23" t="s">
        <v>2167</v>
      </c>
      <c r="AO493" s="31" t="n">
        <v>567887</v>
      </c>
      <c r="AP493" s="32"/>
    </row>
    <row r="494" customFormat="false" ht="15" hidden="false" customHeight="false" outlineLevel="0" collapsed="false">
      <c r="AN494" s="23" t="s">
        <v>2168</v>
      </c>
      <c r="AO494" s="31" t="n">
        <v>562243</v>
      </c>
      <c r="AP494" s="32"/>
    </row>
    <row r="495" customFormat="false" ht="15" hidden="false" customHeight="false" outlineLevel="0" collapsed="false">
      <c r="AN495" s="23" t="s">
        <v>2169</v>
      </c>
      <c r="AO495" s="31" t="n">
        <v>567575</v>
      </c>
      <c r="AP495" s="32"/>
    </row>
    <row r="496" customFormat="false" ht="15" hidden="false" customHeight="false" outlineLevel="0" collapsed="false">
      <c r="AN496" s="23" t="s">
        <v>2170</v>
      </c>
      <c r="AO496" s="31" t="n">
        <v>567597</v>
      </c>
      <c r="AP496" s="32"/>
    </row>
    <row r="497" customFormat="false" ht="15" hidden="false" customHeight="false" outlineLevel="0" collapsed="false">
      <c r="AN497" s="23" t="s">
        <v>2171</v>
      </c>
      <c r="AO497" s="31" t="n">
        <v>609306</v>
      </c>
      <c r="AP497" s="32"/>
    </row>
    <row r="498" customFormat="false" ht="15" hidden="false" customHeight="false" outlineLevel="0" collapsed="false">
      <c r="AN498" s="23" t="s">
        <v>2172</v>
      </c>
      <c r="AO498" s="31" t="n">
        <v>609307</v>
      </c>
      <c r="AP498" s="32"/>
    </row>
    <row r="499" customFormat="false" ht="15" hidden="false" customHeight="false" outlineLevel="0" collapsed="false">
      <c r="AN499" s="23" t="s">
        <v>2173</v>
      </c>
      <c r="AO499" s="31" t="n">
        <v>477721</v>
      </c>
      <c r="AP499" s="32"/>
    </row>
    <row r="500" customFormat="false" ht="15" hidden="false" customHeight="false" outlineLevel="0" collapsed="false">
      <c r="AN500" s="23" t="s">
        <v>2174</v>
      </c>
      <c r="AO500" s="31" t="n">
        <v>572115</v>
      </c>
      <c r="AP500" s="32"/>
    </row>
    <row r="501" customFormat="false" ht="15" hidden="false" customHeight="false" outlineLevel="0" collapsed="false">
      <c r="AN501" s="23" t="s">
        <v>2175</v>
      </c>
      <c r="AO501" s="31" t="n">
        <v>199</v>
      </c>
      <c r="AP501" s="32"/>
    </row>
    <row r="502" customFormat="false" ht="15" hidden="false" customHeight="false" outlineLevel="0" collapsed="false">
      <c r="AN502" s="23" t="s">
        <v>2176</v>
      </c>
      <c r="AO502" s="31" t="n">
        <v>610305</v>
      </c>
      <c r="AP502" s="32"/>
    </row>
    <row r="503" customFormat="false" ht="15" hidden="false" customHeight="false" outlineLevel="0" collapsed="false">
      <c r="AN503" s="23" t="s">
        <v>2177</v>
      </c>
      <c r="AO503" s="31" t="n">
        <v>480441</v>
      </c>
      <c r="AP503" s="32"/>
    </row>
    <row r="504" customFormat="false" ht="15" hidden="false" customHeight="false" outlineLevel="0" collapsed="false">
      <c r="AN504" s="23" t="s">
        <v>2178</v>
      </c>
      <c r="AO504" s="31" t="n">
        <v>233</v>
      </c>
      <c r="AP504" s="32"/>
    </row>
    <row r="505" customFormat="false" ht="15" hidden="false" customHeight="false" outlineLevel="0" collapsed="false">
      <c r="AN505" s="23" t="s">
        <v>2179</v>
      </c>
      <c r="AO505" s="31" t="n">
        <v>566661</v>
      </c>
      <c r="AP505" s="32"/>
    </row>
    <row r="506" customFormat="false" ht="15" hidden="false" customHeight="false" outlineLevel="0" collapsed="false">
      <c r="AN506" s="23" t="s">
        <v>2180</v>
      </c>
      <c r="AO506" s="31" t="n">
        <v>615445</v>
      </c>
      <c r="AP506" s="32"/>
    </row>
    <row r="507" customFormat="false" ht="15" hidden="false" customHeight="false" outlineLevel="0" collapsed="false">
      <c r="AN507" s="23" t="s">
        <v>2181</v>
      </c>
      <c r="AO507" s="31" t="n">
        <v>580542</v>
      </c>
      <c r="AP507" s="32"/>
    </row>
    <row r="508" customFormat="false" ht="15" hidden="false" customHeight="false" outlineLevel="0" collapsed="false">
      <c r="AN508" s="23" t="s">
        <v>2182</v>
      </c>
      <c r="AO508" s="31" t="n">
        <v>609609</v>
      </c>
      <c r="AP508" s="32"/>
    </row>
    <row r="509" customFormat="false" ht="15" hidden="false" customHeight="false" outlineLevel="0" collapsed="false">
      <c r="AN509" s="23" t="s">
        <v>2183</v>
      </c>
      <c r="AO509" s="31" t="n">
        <v>566405</v>
      </c>
      <c r="AP509" s="32"/>
    </row>
    <row r="510" customFormat="false" ht="15" hidden="false" customHeight="false" outlineLevel="0" collapsed="false">
      <c r="AN510" s="23" t="s">
        <v>2184</v>
      </c>
      <c r="AO510" s="31" t="n">
        <v>566406</v>
      </c>
      <c r="AP510" s="32"/>
    </row>
    <row r="511" customFormat="false" ht="15" hidden="false" customHeight="false" outlineLevel="0" collapsed="false">
      <c r="AN511" s="23" t="s">
        <v>2185</v>
      </c>
      <c r="AO511" s="31" t="n">
        <v>566404</v>
      </c>
      <c r="AP511" s="32"/>
    </row>
    <row r="512" customFormat="false" ht="15" hidden="false" customHeight="false" outlineLevel="0" collapsed="false">
      <c r="AN512" s="23" t="s">
        <v>2186</v>
      </c>
      <c r="AO512" s="31" t="n">
        <v>417809</v>
      </c>
      <c r="AP512" s="32"/>
    </row>
    <row r="513" customFormat="false" ht="15" hidden="false" customHeight="false" outlineLevel="0" collapsed="false">
      <c r="AN513" s="23" t="s">
        <v>2187</v>
      </c>
      <c r="AO513" s="31" t="n">
        <v>616916</v>
      </c>
      <c r="AP513" s="32"/>
    </row>
    <row r="514" customFormat="false" ht="15" hidden="false" customHeight="false" outlineLevel="0" collapsed="false">
      <c r="AN514" s="23" t="s">
        <v>2188</v>
      </c>
      <c r="AO514" s="31" t="n">
        <v>545790</v>
      </c>
      <c r="AP514" s="32"/>
    </row>
    <row r="515" customFormat="false" ht="15" hidden="false" customHeight="false" outlineLevel="0" collapsed="false">
      <c r="AN515" s="23" t="s">
        <v>2189</v>
      </c>
      <c r="AO515" s="31" t="n">
        <v>417798</v>
      </c>
      <c r="AP515" s="32"/>
    </row>
    <row r="516" customFormat="false" ht="15" hidden="false" customHeight="false" outlineLevel="0" collapsed="false">
      <c r="AN516" s="23" t="s">
        <v>2190</v>
      </c>
      <c r="AO516" s="31" t="n">
        <v>545788</v>
      </c>
      <c r="AP516" s="32"/>
    </row>
    <row r="517" customFormat="false" ht="15" hidden="false" customHeight="false" outlineLevel="0" collapsed="false">
      <c r="AN517" s="23" t="s">
        <v>2191</v>
      </c>
      <c r="AO517" s="31" t="n">
        <v>545789</v>
      </c>
      <c r="AP517" s="32"/>
    </row>
    <row r="518" customFormat="false" ht="15" hidden="false" customHeight="false" outlineLevel="0" collapsed="false">
      <c r="AN518" s="23" t="s">
        <v>2192</v>
      </c>
      <c r="AO518" s="31" t="n">
        <v>557785</v>
      </c>
      <c r="AP518" s="32"/>
    </row>
    <row r="519" customFormat="false" ht="15" hidden="false" customHeight="false" outlineLevel="0" collapsed="false">
      <c r="AN519" s="23" t="s">
        <v>2193</v>
      </c>
      <c r="AO519" s="31" t="n">
        <v>618498</v>
      </c>
      <c r="AP519" s="32"/>
    </row>
    <row r="520" customFormat="false" ht="15" hidden="false" customHeight="false" outlineLevel="0" collapsed="false">
      <c r="AN520" s="23" t="s">
        <v>2194</v>
      </c>
      <c r="AO520" s="31" t="n">
        <v>555388</v>
      </c>
      <c r="AP520" s="32"/>
    </row>
    <row r="521" customFormat="false" ht="15" hidden="false" customHeight="false" outlineLevel="0" collapsed="false">
      <c r="AN521" s="23" t="s">
        <v>2195</v>
      </c>
      <c r="AO521" s="31" t="n">
        <v>553492</v>
      </c>
      <c r="AP521" s="32"/>
    </row>
    <row r="522" customFormat="false" ht="15" hidden="false" customHeight="false" outlineLevel="0" collapsed="false">
      <c r="AN522" s="23" t="s">
        <v>2196</v>
      </c>
      <c r="AO522" s="31" t="n">
        <v>553491</v>
      </c>
      <c r="AP522" s="32"/>
    </row>
    <row r="523" customFormat="false" ht="15" hidden="false" customHeight="false" outlineLevel="0" collapsed="false">
      <c r="AN523" s="23" t="s">
        <v>2197</v>
      </c>
      <c r="AO523" s="31" t="n">
        <v>555779</v>
      </c>
      <c r="AP523" s="32"/>
    </row>
    <row r="524" customFormat="false" ht="15" hidden="false" customHeight="false" outlineLevel="0" collapsed="false">
      <c r="AN524" s="23" t="s">
        <v>2198</v>
      </c>
      <c r="AO524" s="31" t="n">
        <v>617900</v>
      </c>
      <c r="AP524" s="32"/>
    </row>
    <row r="525" customFormat="false" ht="15" hidden="false" customHeight="false" outlineLevel="0" collapsed="false">
      <c r="AN525" s="23" t="s">
        <v>2199</v>
      </c>
      <c r="AO525" s="31" t="n">
        <v>556571</v>
      </c>
      <c r="AP525" s="32"/>
    </row>
    <row r="526" customFormat="false" ht="15" hidden="false" customHeight="false" outlineLevel="0" collapsed="false">
      <c r="AN526" s="23" t="s">
        <v>2200</v>
      </c>
      <c r="AO526" s="31" t="n">
        <v>556570</v>
      </c>
      <c r="AP526" s="32"/>
    </row>
    <row r="527" customFormat="false" ht="15" hidden="false" customHeight="false" outlineLevel="0" collapsed="false">
      <c r="AN527" s="23" t="s">
        <v>2201</v>
      </c>
      <c r="AO527" s="31" t="n">
        <v>609140</v>
      </c>
      <c r="AP527" s="32"/>
    </row>
    <row r="528" customFormat="false" ht="15" hidden="false" customHeight="false" outlineLevel="0" collapsed="false">
      <c r="AN528" s="23" t="s">
        <v>2202</v>
      </c>
      <c r="AO528" s="31" t="n">
        <v>417799</v>
      </c>
      <c r="AP528" s="32"/>
    </row>
    <row r="529" customFormat="false" ht="15" hidden="false" customHeight="false" outlineLevel="0" collapsed="false">
      <c r="AN529" s="23" t="s">
        <v>2203</v>
      </c>
      <c r="AO529" s="31" t="n">
        <v>564252</v>
      </c>
      <c r="AP529" s="32"/>
    </row>
    <row r="530" customFormat="false" ht="15" hidden="false" customHeight="false" outlineLevel="0" collapsed="false">
      <c r="AN530" s="23" t="s">
        <v>2204</v>
      </c>
      <c r="AO530" s="31" t="n">
        <v>564251</v>
      </c>
      <c r="AP530" s="32"/>
    </row>
    <row r="531" customFormat="false" ht="15" hidden="false" customHeight="false" outlineLevel="0" collapsed="false">
      <c r="AN531" s="23" t="s">
        <v>2205</v>
      </c>
      <c r="AO531" s="31" t="n">
        <v>608377</v>
      </c>
      <c r="AP531" s="32"/>
    </row>
    <row r="532" customFormat="false" ht="15" hidden="false" customHeight="false" outlineLevel="0" collapsed="false">
      <c r="AN532" s="23" t="s">
        <v>2206</v>
      </c>
      <c r="AO532" s="31" t="n">
        <v>556594</v>
      </c>
      <c r="AP532" s="32"/>
    </row>
    <row r="533" customFormat="false" ht="15" hidden="false" customHeight="false" outlineLevel="0" collapsed="false">
      <c r="AN533" s="23" t="s">
        <v>2207</v>
      </c>
      <c r="AO533" s="31" t="n">
        <v>572639</v>
      </c>
      <c r="AP533" s="32"/>
    </row>
    <row r="534" customFormat="false" ht="15" hidden="false" customHeight="false" outlineLevel="0" collapsed="false">
      <c r="AN534" s="23" t="s">
        <v>2208</v>
      </c>
      <c r="AO534" s="31" t="n">
        <v>557763</v>
      </c>
      <c r="AP534" s="32"/>
    </row>
    <row r="535" customFormat="false" ht="15" hidden="false" customHeight="false" outlineLevel="0" collapsed="false">
      <c r="AN535" s="23" t="s">
        <v>2209</v>
      </c>
      <c r="AO535" s="31" t="n">
        <v>609439</v>
      </c>
      <c r="AP535" s="32"/>
    </row>
    <row r="536" customFormat="false" ht="15" hidden="false" customHeight="false" outlineLevel="0" collapsed="false">
      <c r="AN536" s="23" t="s">
        <v>2210</v>
      </c>
      <c r="AO536" s="31" t="n">
        <v>575665</v>
      </c>
      <c r="AP536" s="32"/>
    </row>
    <row r="537" customFormat="false" ht="15" hidden="false" customHeight="false" outlineLevel="0" collapsed="false">
      <c r="AN537" s="23" t="s">
        <v>2211</v>
      </c>
      <c r="AO537" s="31" t="n">
        <v>555735</v>
      </c>
      <c r="AP537" s="32"/>
    </row>
    <row r="538" customFormat="false" ht="15" hidden="false" customHeight="false" outlineLevel="0" collapsed="false">
      <c r="AN538" s="23" t="s">
        <v>2212</v>
      </c>
      <c r="AO538" s="31" t="n">
        <v>555733</v>
      </c>
      <c r="AP538" s="32"/>
    </row>
    <row r="539" customFormat="false" ht="15" hidden="false" customHeight="false" outlineLevel="0" collapsed="false">
      <c r="AN539" s="23" t="s">
        <v>2213</v>
      </c>
      <c r="AO539" s="31" t="n">
        <v>618565</v>
      </c>
      <c r="AP539" s="32"/>
    </row>
    <row r="540" customFormat="false" ht="15" hidden="false" customHeight="false" outlineLevel="0" collapsed="false">
      <c r="AN540" s="23" t="s">
        <v>2214</v>
      </c>
      <c r="AO540" s="31" t="n">
        <v>618566</v>
      </c>
      <c r="AP540" s="32"/>
    </row>
    <row r="541" customFormat="false" ht="15" hidden="false" customHeight="false" outlineLevel="0" collapsed="false">
      <c r="AN541" s="23" t="s">
        <v>2215</v>
      </c>
      <c r="AO541" s="31" t="n">
        <v>618567</v>
      </c>
      <c r="AP541" s="32"/>
    </row>
    <row r="542" customFormat="false" ht="15" hidden="false" customHeight="false" outlineLevel="0" collapsed="false">
      <c r="AN542" s="23" t="s">
        <v>2216</v>
      </c>
      <c r="AO542" s="31" t="n">
        <v>614757</v>
      </c>
      <c r="AP542" s="32"/>
    </row>
    <row r="543" customFormat="false" ht="15" hidden="false" customHeight="false" outlineLevel="0" collapsed="false">
      <c r="AN543" s="23" t="s">
        <v>2217</v>
      </c>
      <c r="AO543" s="31" t="n">
        <v>276</v>
      </c>
      <c r="AP543" s="32"/>
    </row>
    <row r="544" customFormat="false" ht="15" hidden="false" customHeight="false" outlineLevel="0" collapsed="false">
      <c r="AN544" s="23" t="s">
        <v>2218</v>
      </c>
      <c r="AO544" s="31" t="n">
        <v>614759</v>
      </c>
      <c r="AP544" s="32"/>
    </row>
    <row r="545" customFormat="false" ht="15" hidden="false" customHeight="false" outlineLevel="0" collapsed="false">
      <c r="AN545" s="23" t="s">
        <v>2219</v>
      </c>
      <c r="AO545" s="31" t="n">
        <v>556352</v>
      </c>
      <c r="AP545" s="32"/>
    </row>
    <row r="546" customFormat="false" ht="15" hidden="false" customHeight="false" outlineLevel="0" collapsed="false">
      <c r="AN546" s="23" t="s">
        <v>2220</v>
      </c>
      <c r="AO546" s="31" t="n">
        <v>572418</v>
      </c>
      <c r="AP546" s="32"/>
    </row>
    <row r="547" customFormat="false" ht="15" hidden="false" customHeight="false" outlineLevel="0" collapsed="false">
      <c r="AN547" s="23" t="s">
        <v>2221</v>
      </c>
      <c r="AO547" s="31" t="n">
        <v>608184</v>
      </c>
      <c r="AP547" s="32"/>
    </row>
    <row r="548" customFormat="false" ht="15" hidden="false" customHeight="false" outlineLevel="0" collapsed="false">
      <c r="AN548" s="23" t="s">
        <v>2222</v>
      </c>
      <c r="AO548" s="31" t="n">
        <v>614758</v>
      </c>
      <c r="AP548" s="32"/>
    </row>
    <row r="549" customFormat="false" ht="15" hidden="false" customHeight="false" outlineLevel="0" collapsed="false">
      <c r="AN549" s="23" t="s">
        <v>2223</v>
      </c>
      <c r="AO549" s="31" t="n">
        <v>274</v>
      </c>
      <c r="AP549" s="32"/>
    </row>
    <row r="550" customFormat="false" ht="15" hidden="false" customHeight="false" outlineLevel="0" collapsed="false">
      <c r="AN550" s="23" t="s">
        <v>2224</v>
      </c>
      <c r="AO550" s="31" t="n">
        <v>480438</v>
      </c>
      <c r="AP550" s="32"/>
    </row>
    <row r="551" customFormat="false" ht="15" hidden="false" customHeight="false" outlineLevel="0" collapsed="false">
      <c r="AN551" s="23" t="s">
        <v>2225</v>
      </c>
      <c r="AO551" s="31" t="n">
        <v>615387</v>
      </c>
      <c r="AP551" s="32"/>
    </row>
    <row r="552" customFormat="false" ht="15" hidden="false" customHeight="false" outlineLevel="0" collapsed="false">
      <c r="AN552" s="23" t="s">
        <v>2226</v>
      </c>
      <c r="AO552" s="31" t="n">
        <v>564020</v>
      </c>
      <c r="AP552" s="32"/>
    </row>
    <row r="553" customFormat="false" ht="15" hidden="false" customHeight="false" outlineLevel="0" collapsed="false">
      <c r="AN553" s="23" t="s">
        <v>2227</v>
      </c>
      <c r="AO553" s="31" t="n">
        <v>567569</v>
      </c>
      <c r="AP553" s="32"/>
    </row>
    <row r="554" customFormat="false" ht="15" hidden="false" customHeight="false" outlineLevel="0" collapsed="false">
      <c r="AN554" s="23" t="s">
        <v>2228</v>
      </c>
      <c r="AO554" s="31" t="n">
        <v>557062</v>
      </c>
      <c r="AP554" s="32"/>
    </row>
    <row r="555" customFormat="false" ht="15" hidden="false" customHeight="false" outlineLevel="0" collapsed="false">
      <c r="AN555" s="23" t="s">
        <v>2229</v>
      </c>
      <c r="AO555" s="31" t="n">
        <v>114175</v>
      </c>
      <c r="AP555" s="32"/>
    </row>
    <row r="556" customFormat="false" ht="15" hidden="false" customHeight="false" outlineLevel="0" collapsed="false">
      <c r="AN556" s="23" t="s">
        <v>2230</v>
      </c>
      <c r="AO556" s="31" t="n">
        <v>568109</v>
      </c>
      <c r="AP556" s="32"/>
    </row>
    <row r="557" customFormat="false" ht="15" hidden="false" customHeight="false" outlineLevel="0" collapsed="false">
      <c r="AN557" s="23" t="s">
        <v>2231</v>
      </c>
      <c r="AO557" s="31" t="n">
        <v>618066</v>
      </c>
      <c r="AP557" s="32"/>
    </row>
    <row r="558" customFormat="false" ht="15" hidden="false" customHeight="false" outlineLevel="0" collapsed="false">
      <c r="AN558" s="23" t="s">
        <v>2232</v>
      </c>
      <c r="AO558" s="31" t="n">
        <v>567690</v>
      </c>
      <c r="AP558" s="32"/>
    </row>
    <row r="559" customFormat="false" ht="15" hidden="false" customHeight="false" outlineLevel="0" collapsed="false">
      <c r="AN559" s="23" t="s">
        <v>2233</v>
      </c>
      <c r="AO559" s="31" t="n">
        <v>567691</v>
      </c>
      <c r="AP559" s="32"/>
    </row>
    <row r="560" customFormat="false" ht="15" hidden="false" customHeight="false" outlineLevel="0" collapsed="false">
      <c r="AN560" s="23" t="s">
        <v>2234</v>
      </c>
      <c r="AO560" s="31" t="n">
        <v>567688</v>
      </c>
      <c r="AP560" s="32"/>
    </row>
    <row r="561" customFormat="false" ht="15" hidden="false" customHeight="false" outlineLevel="0" collapsed="false">
      <c r="AN561" s="23" t="s">
        <v>2235</v>
      </c>
      <c r="AO561" s="31" t="n">
        <v>607959</v>
      </c>
      <c r="AP561" s="32"/>
    </row>
    <row r="562" customFormat="false" ht="15" hidden="false" customHeight="false" outlineLevel="0" collapsed="false">
      <c r="AN562" s="23" t="s">
        <v>2236</v>
      </c>
      <c r="AO562" s="31" t="n">
        <v>477731</v>
      </c>
      <c r="AP562" s="32"/>
    </row>
    <row r="563" customFormat="false" ht="15" hidden="false" customHeight="false" outlineLevel="0" collapsed="false">
      <c r="AN563" s="23" t="s">
        <v>2237</v>
      </c>
      <c r="AO563" s="31" t="n">
        <v>339075</v>
      </c>
      <c r="AP563" s="32"/>
    </row>
    <row r="564" customFormat="false" ht="15" hidden="false" customHeight="false" outlineLevel="0" collapsed="false">
      <c r="AN564" s="23" t="s">
        <v>2238</v>
      </c>
      <c r="AO564" s="31" t="n">
        <v>553429</v>
      </c>
      <c r="AP564" s="32"/>
    </row>
    <row r="565" customFormat="false" ht="15" hidden="false" customHeight="false" outlineLevel="0" collapsed="false">
      <c r="AN565" s="23" t="s">
        <v>2239</v>
      </c>
      <c r="AO565" s="31" t="n">
        <v>607314</v>
      </c>
      <c r="AP565" s="32"/>
    </row>
    <row r="566" customFormat="false" ht="15" hidden="false" customHeight="false" outlineLevel="0" collapsed="false">
      <c r="AN566" s="23" t="s">
        <v>2240</v>
      </c>
      <c r="AO566" s="31" t="n">
        <v>545799</v>
      </c>
      <c r="AP566" s="32"/>
    </row>
    <row r="567" customFormat="false" ht="15" hidden="false" customHeight="false" outlineLevel="0" collapsed="false">
      <c r="AN567" s="23" t="s">
        <v>2241</v>
      </c>
      <c r="AO567" s="31" t="n">
        <v>618263</v>
      </c>
      <c r="AP567" s="32"/>
    </row>
    <row r="568" customFormat="false" ht="15" hidden="false" customHeight="false" outlineLevel="0" collapsed="false">
      <c r="AN568" s="23" t="s">
        <v>2242</v>
      </c>
      <c r="AO568" s="31" t="n">
        <v>618262</v>
      </c>
      <c r="AP568" s="32"/>
    </row>
    <row r="569" customFormat="false" ht="15" hidden="false" customHeight="false" outlineLevel="0" collapsed="false">
      <c r="AN569" s="23" t="s">
        <v>2243</v>
      </c>
      <c r="AO569" s="31" t="n">
        <v>221</v>
      </c>
      <c r="AP569" s="32"/>
    </row>
    <row r="570" customFormat="false" ht="15" hidden="false" customHeight="false" outlineLevel="0" collapsed="false">
      <c r="AN570" s="23" t="s">
        <v>2244</v>
      </c>
      <c r="AO570" s="31" t="n">
        <v>611423</v>
      </c>
      <c r="AP570" s="32"/>
    </row>
    <row r="571" customFormat="false" ht="15" hidden="false" customHeight="false" outlineLevel="0" collapsed="false">
      <c r="AN571" s="23" t="s">
        <v>2245</v>
      </c>
      <c r="AO571" s="31" t="n">
        <v>618213</v>
      </c>
      <c r="AP571" s="32"/>
    </row>
    <row r="572" customFormat="false" ht="15" hidden="false" customHeight="false" outlineLevel="0" collapsed="false">
      <c r="AN572" s="23" t="s">
        <v>2246</v>
      </c>
      <c r="AO572" s="31" t="n">
        <v>607405</v>
      </c>
      <c r="AP572" s="32"/>
    </row>
    <row r="573" customFormat="false" ht="15" hidden="false" customHeight="false" outlineLevel="0" collapsed="false">
      <c r="AN573" s="23" t="s">
        <v>2247</v>
      </c>
      <c r="AO573" s="31" t="n">
        <v>606600</v>
      </c>
      <c r="AP573" s="32"/>
    </row>
    <row r="574" customFormat="false" ht="15" hidden="false" customHeight="false" outlineLevel="0" collapsed="false">
      <c r="AN574" s="23" t="s">
        <v>2248</v>
      </c>
      <c r="AO574" s="31" t="n">
        <v>571280</v>
      </c>
      <c r="AP574" s="32"/>
    </row>
    <row r="575" customFormat="false" ht="15" hidden="false" customHeight="false" outlineLevel="0" collapsed="false">
      <c r="AN575" s="23" t="s">
        <v>2249</v>
      </c>
      <c r="AO575" s="31" t="n">
        <v>609464</v>
      </c>
      <c r="AP575" s="32"/>
    </row>
    <row r="576" customFormat="false" ht="15" hidden="false" customHeight="false" outlineLevel="0" collapsed="false">
      <c r="AN576" s="23" t="s">
        <v>2250</v>
      </c>
      <c r="AO576" s="31" t="n">
        <v>557762</v>
      </c>
      <c r="AP576" s="32"/>
    </row>
    <row r="577" customFormat="false" ht="15" hidden="false" customHeight="false" outlineLevel="0" collapsed="false">
      <c r="AN577" s="23" t="s">
        <v>2251</v>
      </c>
      <c r="AO577" s="31" t="n">
        <v>573629</v>
      </c>
      <c r="AP577" s="32"/>
    </row>
    <row r="578" customFormat="false" ht="15" hidden="false" customHeight="false" outlineLevel="0" collapsed="false">
      <c r="AN578" s="23" t="s">
        <v>2252</v>
      </c>
      <c r="AO578" s="31" t="n">
        <v>573630</v>
      </c>
      <c r="AP578" s="32"/>
    </row>
    <row r="579" customFormat="false" ht="15" hidden="false" customHeight="false" outlineLevel="0" collapsed="false">
      <c r="AN579" s="23" t="s">
        <v>2253</v>
      </c>
      <c r="AO579" s="31" t="n">
        <v>564660</v>
      </c>
      <c r="AP579" s="32"/>
    </row>
    <row r="580" customFormat="false" ht="15" hidden="false" customHeight="false" outlineLevel="0" collapsed="false">
      <c r="AN580" s="23" t="s">
        <v>2254</v>
      </c>
      <c r="AO580" s="31" t="n">
        <v>564647</v>
      </c>
      <c r="AP580" s="32"/>
    </row>
    <row r="581" customFormat="false" ht="15" hidden="false" customHeight="false" outlineLevel="0" collapsed="false">
      <c r="AN581" s="23" t="s">
        <v>2255</v>
      </c>
      <c r="AO581" s="31" t="n">
        <v>564648</v>
      </c>
      <c r="AP581" s="32"/>
    </row>
    <row r="582" customFormat="false" ht="15" hidden="false" customHeight="false" outlineLevel="0" collapsed="false">
      <c r="AN582" s="23" t="s">
        <v>2256</v>
      </c>
      <c r="AO582" s="31" t="n">
        <v>609095</v>
      </c>
      <c r="AP582" s="32"/>
    </row>
    <row r="583" customFormat="false" ht="15" hidden="false" customHeight="false" outlineLevel="0" collapsed="false">
      <c r="AN583" s="23" t="s">
        <v>2257</v>
      </c>
      <c r="AO583" s="31" t="n">
        <v>566474</v>
      </c>
      <c r="AP583" s="32"/>
    </row>
    <row r="584" customFormat="false" ht="15" hidden="false" customHeight="false" outlineLevel="0" collapsed="false">
      <c r="AN584" s="23" t="s">
        <v>2258</v>
      </c>
      <c r="AO584" s="31" t="n">
        <v>609137</v>
      </c>
      <c r="AP584" s="32"/>
    </row>
    <row r="585" customFormat="false" ht="15" hidden="false" customHeight="false" outlineLevel="0" collapsed="false">
      <c r="AN585" s="23" t="s">
        <v>2259</v>
      </c>
      <c r="AO585" s="31" t="n">
        <v>606704</v>
      </c>
      <c r="AP585" s="32"/>
    </row>
    <row r="586" customFormat="false" ht="15" hidden="false" customHeight="false" outlineLevel="0" collapsed="false">
      <c r="AN586" s="23" t="s">
        <v>2260</v>
      </c>
      <c r="AO586" s="31" t="n">
        <v>340</v>
      </c>
      <c r="AP586" s="32"/>
    </row>
    <row r="587" customFormat="false" ht="15" hidden="false" customHeight="false" outlineLevel="0" collapsed="false">
      <c r="AN587" s="23" t="s">
        <v>2261</v>
      </c>
      <c r="AO587" s="31" t="n">
        <v>562214</v>
      </c>
      <c r="AP587" s="32"/>
    </row>
    <row r="588" customFormat="false" ht="15" hidden="false" customHeight="false" outlineLevel="0" collapsed="false">
      <c r="AN588" s="23" t="s">
        <v>2262</v>
      </c>
      <c r="AO588" s="31" t="n">
        <v>608193</v>
      </c>
      <c r="AP588" s="32"/>
    </row>
    <row r="589" customFormat="false" ht="15" hidden="false" customHeight="false" outlineLevel="0" collapsed="false">
      <c r="AN589" s="23" t="s">
        <v>2263</v>
      </c>
      <c r="AO589" s="31" t="n">
        <v>567508</v>
      </c>
      <c r="AP589" s="32"/>
    </row>
    <row r="590" customFormat="false" ht="15" hidden="false" customHeight="false" outlineLevel="0" collapsed="false">
      <c r="AN590" s="23" t="s">
        <v>2264</v>
      </c>
      <c r="AO590" s="31" t="n">
        <v>567509</v>
      </c>
      <c r="AP590" s="32"/>
    </row>
    <row r="591" customFormat="false" ht="15" hidden="false" customHeight="false" outlineLevel="0" collapsed="false">
      <c r="AN591" s="23" t="s">
        <v>2265</v>
      </c>
      <c r="AO591" s="31" t="n">
        <v>567507</v>
      </c>
      <c r="AP591" s="32"/>
    </row>
    <row r="592" customFormat="false" ht="15" hidden="false" customHeight="false" outlineLevel="0" collapsed="false">
      <c r="AN592" s="23" t="s">
        <v>2266</v>
      </c>
      <c r="AO592" s="31" t="n">
        <v>607225</v>
      </c>
      <c r="AP592" s="32"/>
    </row>
    <row r="593" customFormat="false" ht="15" hidden="false" customHeight="false" outlineLevel="0" collapsed="false">
      <c r="AN593" s="23" t="s">
        <v>2267</v>
      </c>
      <c r="AO593" s="31" t="n">
        <v>607226</v>
      </c>
      <c r="AP593" s="32"/>
    </row>
    <row r="594" customFormat="false" ht="15" hidden="false" customHeight="false" outlineLevel="0" collapsed="false">
      <c r="AN594" s="23" t="s">
        <v>2268</v>
      </c>
      <c r="AO594" s="31" t="n">
        <v>608831</v>
      </c>
      <c r="AP594" s="32"/>
    </row>
    <row r="595" customFormat="false" ht="15" hidden="false" customHeight="false" outlineLevel="0" collapsed="false">
      <c r="AN595" s="23" t="s">
        <v>2269</v>
      </c>
      <c r="AO595" s="31" t="n">
        <v>562168</v>
      </c>
      <c r="AP595" s="32"/>
    </row>
    <row r="596" customFormat="false" ht="15" hidden="false" customHeight="false" outlineLevel="0" collapsed="false">
      <c r="AN596" s="23" t="s">
        <v>2270</v>
      </c>
      <c r="AO596" s="31" t="n">
        <v>575607</v>
      </c>
      <c r="AP596" s="32"/>
    </row>
    <row r="597" customFormat="false" ht="15" hidden="false" customHeight="false" outlineLevel="0" collapsed="false">
      <c r="AN597" s="23" t="s">
        <v>2271</v>
      </c>
      <c r="AO597" s="31" t="n">
        <v>606602</v>
      </c>
      <c r="AP597" s="32"/>
    </row>
    <row r="598" customFormat="false" ht="15" hidden="false" customHeight="false" outlineLevel="0" collapsed="false">
      <c r="AN598" s="23" t="s">
        <v>2272</v>
      </c>
      <c r="AO598" s="31" t="n">
        <v>562300</v>
      </c>
      <c r="AP598" s="32"/>
    </row>
    <row r="599" customFormat="false" ht="15" hidden="false" customHeight="false" outlineLevel="0" collapsed="false">
      <c r="AN599" s="23" t="s">
        <v>2273</v>
      </c>
      <c r="AO599" s="31" t="n">
        <v>555296</v>
      </c>
      <c r="AP599" s="32"/>
    </row>
    <row r="600" customFormat="false" ht="15" hidden="false" customHeight="false" outlineLevel="0" collapsed="false">
      <c r="AN600" s="23" t="s">
        <v>2274</v>
      </c>
      <c r="AO600" s="31" t="n">
        <v>555272</v>
      </c>
      <c r="AP600" s="32"/>
    </row>
    <row r="601" customFormat="false" ht="15" hidden="false" customHeight="false" outlineLevel="0" collapsed="false">
      <c r="AN601" s="23" t="s">
        <v>2275</v>
      </c>
      <c r="AO601" s="31" t="n">
        <v>608641</v>
      </c>
      <c r="AP601" s="32"/>
    </row>
    <row r="602" customFormat="false" ht="15" hidden="false" customHeight="false" outlineLevel="0" collapsed="false">
      <c r="AN602" s="23" t="s">
        <v>2276</v>
      </c>
      <c r="AO602" s="31" t="n">
        <v>492107</v>
      </c>
      <c r="AP602" s="32"/>
    </row>
    <row r="603" customFormat="false" ht="15" hidden="false" customHeight="false" outlineLevel="0" collapsed="false">
      <c r="AN603" s="23" t="s">
        <v>2277</v>
      </c>
      <c r="AO603" s="31" t="n">
        <v>617465</v>
      </c>
      <c r="AP603" s="32"/>
    </row>
    <row r="604" customFormat="false" ht="15" hidden="false" customHeight="false" outlineLevel="0" collapsed="false">
      <c r="AN604" s="23" t="s">
        <v>2278</v>
      </c>
      <c r="AO604" s="31" t="n">
        <v>614854</v>
      </c>
      <c r="AP604" s="32"/>
    </row>
    <row r="605" customFormat="false" ht="15" hidden="false" customHeight="false" outlineLevel="0" collapsed="false">
      <c r="AN605" s="23" t="s">
        <v>2279</v>
      </c>
      <c r="AO605" s="31" t="n">
        <v>611691</v>
      </c>
      <c r="AP605" s="32"/>
    </row>
    <row r="606" customFormat="false" ht="15" hidden="false" customHeight="false" outlineLevel="0" collapsed="false">
      <c r="AN606" s="23" t="s">
        <v>2280</v>
      </c>
      <c r="AO606" s="31" t="n">
        <v>441879</v>
      </c>
      <c r="AP606" s="32"/>
    </row>
    <row r="607" customFormat="false" ht="15" hidden="false" customHeight="false" outlineLevel="0" collapsed="false">
      <c r="AN607" s="23" t="s">
        <v>2281</v>
      </c>
      <c r="AO607" s="31" t="n">
        <v>608312</v>
      </c>
      <c r="AP607" s="32"/>
    </row>
    <row r="608" customFormat="false" ht="15" hidden="false" customHeight="false" outlineLevel="0" collapsed="false">
      <c r="AN608" s="23" t="s">
        <v>2282</v>
      </c>
      <c r="AO608" s="31" t="n">
        <v>556060</v>
      </c>
      <c r="AP608" s="32"/>
    </row>
    <row r="609" customFormat="false" ht="15" hidden="false" customHeight="false" outlineLevel="0" collapsed="false">
      <c r="AN609" s="23" t="s">
        <v>2283</v>
      </c>
      <c r="AO609" s="31" t="n">
        <v>556019</v>
      </c>
      <c r="AP609" s="32"/>
    </row>
    <row r="610" customFormat="false" ht="15" hidden="false" customHeight="false" outlineLevel="0" collapsed="false">
      <c r="AN610" s="23" t="s">
        <v>2284</v>
      </c>
      <c r="AO610" s="31" t="n">
        <v>556068</v>
      </c>
      <c r="AP610" s="32"/>
    </row>
    <row r="611" customFormat="false" ht="15" hidden="false" customHeight="false" outlineLevel="0" collapsed="false">
      <c r="AN611" s="23" t="s">
        <v>2285</v>
      </c>
      <c r="AO611" s="31" t="n">
        <v>556018</v>
      </c>
      <c r="AP611" s="32"/>
    </row>
    <row r="612" customFormat="false" ht="15" hidden="false" customHeight="false" outlineLevel="0" collapsed="false">
      <c r="AN612" s="23" t="s">
        <v>2286</v>
      </c>
      <c r="AO612" s="31" t="n">
        <v>564027</v>
      </c>
      <c r="AP612" s="32"/>
    </row>
    <row r="613" customFormat="false" ht="15" hidden="false" customHeight="false" outlineLevel="0" collapsed="false">
      <c r="AN613" s="23" t="s">
        <v>2287</v>
      </c>
      <c r="AO613" s="31" t="n">
        <v>564250</v>
      </c>
      <c r="AP613" s="32"/>
    </row>
    <row r="614" customFormat="false" ht="15" hidden="false" customHeight="false" outlineLevel="0" collapsed="false">
      <c r="AN614" s="23" t="s">
        <v>2288</v>
      </c>
      <c r="AO614" s="31" t="n">
        <v>479611</v>
      </c>
      <c r="AP614" s="32"/>
    </row>
    <row r="615" customFormat="false" ht="15" hidden="false" customHeight="false" outlineLevel="0" collapsed="false">
      <c r="AN615" s="23" t="s">
        <v>2289</v>
      </c>
      <c r="AO615" s="31" t="n">
        <v>555859</v>
      </c>
      <c r="AP615" s="32"/>
    </row>
    <row r="616" customFormat="false" ht="15" hidden="false" customHeight="false" outlineLevel="0" collapsed="false">
      <c r="AN616" s="23" t="s">
        <v>2290</v>
      </c>
      <c r="AO616" s="31" t="n">
        <v>617388</v>
      </c>
      <c r="AP616" s="32"/>
    </row>
    <row r="617" customFormat="false" ht="15" hidden="false" customHeight="false" outlineLevel="0" collapsed="false">
      <c r="AN617" s="23" t="s">
        <v>2291</v>
      </c>
      <c r="AO617" s="31" t="n">
        <v>563881</v>
      </c>
      <c r="AP617" s="32"/>
    </row>
    <row r="618" customFormat="false" ht="15" hidden="false" customHeight="false" outlineLevel="0" collapsed="false">
      <c r="AN618" s="23" t="s">
        <v>2292</v>
      </c>
      <c r="AO618" s="31" t="n">
        <v>609110</v>
      </c>
      <c r="AP618" s="32"/>
    </row>
    <row r="619" customFormat="false" ht="15" hidden="false" customHeight="false" outlineLevel="0" collapsed="false">
      <c r="AN619" s="23" t="s">
        <v>2293</v>
      </c>
      <c r="AO619" s="31" t="n">
        <v>564635</v>
      </c>
      <c r="AP619" s="32"/>
    </row>
    <row r="620" customFormat="false" ht="15" hidden="false" customHeight="false" outlineLevel="0" collapsed="false">
      <c r="AN620" s="23" t="s">
        <v>2294</v>
      </c>
      <c r="AO620" s="31" t="n">
        <v>617769</v>
      </c>
      <c r="AP620" s="32"/>
    </row>
    <row r="621" customFormat="false" ht="15" hidden="false" customHeight="false" outlineLevel="0" collapsed="false">
      <c r="AN621" s="23" t="s">
        <v>2295</v>
      </c>
      <c r="AO621" s="31" t="n">
        <v>611874</v>
      </c>
      <c r="AP621" s="32"/>
    </row>
    <row r="622" customFormat="false" ht="15" hidden="false" customHeight="false" outlineLevel="0" collapsed="false">
      <c r="AN622" s="23" t="s">
        <v>2296</v>
      </c>
      <c r="AO622" s="31" t="n">
        <v>563883</v>
      </c>
      <c r="AP622" s="32"/>
    </row>
    <row r="623" customFormat="false" ht="15" hidden="false" customHeight="false" outlineLevel="0" collapsed="false">
      <c r="AN623" s="23" t="s">
        <v>2297</v>
      </c>
      <c r="AO623" s="31" t="n">
        <v>339078</v>
      </c>
      <c r="AP623" s="32"/>
    </row>
    <row r="624" customFormat="false" ht="15" hidden="false" customHeight="false" outlineLevel="0" collapsed="false">
      <c r="AN624" s="23" t="s">
        <v>2298</v>
      </c>
      <c r="AO624" s="31" t="n">
        <v>615487</v>
      </c>
      <c r="AP624" s="32"/>
    </row>
    <row r="625" customFormat="false" ht="15" hidden="false" customHeight="false" outlineLevel="0" collapsed="false">
      <c r="AN625" s="23" t="s">
        <v>2299</v>
      </c>
      <c r="AO625" s="31" t="n">
        <v>555819</v>
      </c>
      <c r="AP625" s="32"/>
    </row>
    <row r="626" customFormat="false" ht="15" hidden="false" customHeight="false" outlineLevel="0" collapsed="false">
      <c r="AN626" s="23" t="s">
        <v>2300</v>
      </c>
      <c r="AO626" s="31" t="n">
        <v>616262</v>
      </c>
      <c r="AP626" s="32"/>
    </row>
    <row r="627" customFormat="false" ht="15" hidden="false" customHeight="false" outlineLevel="0" collapsed="false">
      <c r="AN627" s="23" t="s">
        <v>2301</v>
      </c>
      <c r="AO627" s="31" t="n">
        <v>555817</v>
      </c>
      <c r="AP627" s="32"/>
    </row>
    <row r="628" customFormat="false" ht="15" hidden="false" customHeight="false" outlineLevel="0" collapsed="false">
      <c r="AN628" s="23" t="s">
        <v>2302</v>
      </c>
      <c r="AO628" s="31" t="n">
        <v>555818</v>
      </c>
      <c r="AP628" s="32"/>
    </row>
    <row r="629" customFormat="false" ht="15" hidden="false" customHeight="false" outlineLevel="0" collapsed="false">
      <c r="AN629" s="23" t="s">
        <v>2303</v>
      </c>
      <c r="AO629" s="31" t="n">
        <v>555858</v>
      </c>
      <c r="AP629" s="32"/>
    </row>
    <row r="630" customFormat="false" ht="15" hidden="false" customHeight="false" outlineLevel="0" collapsed="false">
      <c r="AN630" s="23" t="s">
        <v>2304</v>
      </c>
      <c r="AO630" s="31" t="n">
        <v>499830</v>
      </c>
      <c r="AP630" s="32"/>
    </row>
    <row r="631" customFormat="false" ht="15" hidden="false" customHeight="false" outlineLevel="0" collapsed="false">
      <c r="AN631" s="23" t="s">
        <v>2305</v>
      </c>
      <c r="AO631" s="31" t="n">
        <v>563880</v>
      </c>
      <c r="AP631" s="32"/>
    </row>
    <row r="632" customFormat="false" ht="15" hidden="false" customHeight="false" outlineLevel="0" collapsed="false">
      <c r="AN632" s="23" t="s">
        <v>2306</v>
      </c>
      <c r="AO632" s="31" t="n">
        <v>565215</v>
      </c>
      <c r="AP632" s="32"/>
    </row>
    <row r="633" customFormat="false" ht="15" hidden="false" customHeight="false" outlineLevel="0" collapsed="false">
      <c r="AN633" s="23" t="s">
        <v>2307</v>
      </c>
      <c r="AO633" s="31" t="n">
        <v>339092</v>
      </c>
      <c r="AP633" s="32"/>
    </row>
    <row r="634" customFormat="false" ht="15" hidden="false" customHeight="false" outlineLevel="0" collapsed="false">
      <c r="AN634" s="23" t="s">
        <v>2308</v>
      </c>
      <c r="AO634" s="31" t="n">
        <v>480420</v>
      </c>
      <c r="AP634" s="32"/>
    </row>
    <row r="635" customFormat="false" ht="15" hidden="false" customHeight="false" outlineLevel="0" collapsed="false">
      <c r="AN635" s="23" t="s">
        <v>2309</v>
      </c>
      <c r="AO635" s="31" t="n">
        <v>567149</v>
      </c>
      <c r="AP635" s="32"/>
    </row>
    <row r="636" customFormat="false" ht="15" hidden="false" customHeight="false" outlineLevel="0" collapsed="false">
      <c r="AN636" s="23" t="s">
        <v>2310</v>
      </c>
      <c r="AO636" s="31" t="n">
        <v>568066</v>
      </c>
      <c r="AP636" s="32"/>
    </row>
    <row r="637" customFormat="false" ht="15" hidden="false" customHeight="false" outlineLevel="0" collapsed="false">
      <c r="AN637" s="23" t="s">
        <v>2311</v>
      </c>
      <c r="AO637" s="37" t="n">
        <v>417715</v>
      </c>
      <c r="AP637" s="39"/>
    </row>
    <row r="638" customFormat="false" ht="15" hidden="false" customHeight="false" outlineLevel="0" collapsed="false">
      <c r="AN638" s="23" t="s">
        <v>2312</v>
      </c>
      <c r="AO638" s="37" t="n">
        <v>480383</v>
      </c>
      <c r="AP638" s="39"/>
    </row>
    <row r="639" customFormat="false" ht="15" hidden="false" customHeight="false" outlineLevel="0" collapsed="false">
      <c r="AN639" s="23" t="s">
        <v>2313</v>
      </c>
      <c r="AO639" s="37" t="n">
        <v>608290</v>
      </c>
      <c r="AP639" s="39"/>
    </row>
    <row r="640" customFormat="false" ht="15" hidden="false" customHeight="false" outlineLevel="0" collapsed="false">
      <c r="AN640" s="23" t="s">
        <v>2314</v>
      </c>
      <c r="AO640" s="37" t="n">
        <v>564614</v>
      </c>
      <c r="AP640" s="39"/>
    </row>
    <row r="641" customFormat="false" ht="15" hidden="false" customHeight="false" outlineLevel="0" collapsed="false">
      <c r="AN641" s="23" t="s">
        <v>2315</v>
      </c>
      <c r="AO641" s="37" t="n">
        <v>615790</v>
      </c>
      <c r="AP641" s="39"/>
    </row>
    <row r="642" customFormat="false" ht="15" hidden="false" customHeight="false" outlineLevel="0" collapsed="false">
      <c r="AN642" s="23" t="s">
        <v>2316</v>
      </c>
      <c r="AO642" s="37" t="n">
        <v>607871</v>
      </c>
      <c r="AP642" s="39"/>
    </row>
    <row r="643" customFormat="false" ht="15" hidden="false" customHeight="false" outlineLevel="0" collapsed="false">
      <c r="AN643" s="23" t="s">
        <v>2317</v>
      </c>
      <c r="AO643" s="37" t="n">
        <v>479625</v>
      </c>
      <c r="AP643" s="39"/>
    </row>
    <row r="644" customFormat="false" ht="15" hidden="false" customHeight="false" outlineLevel="0" collapsed="false">
      <c r="AN644" s="23" t="s">
        <v>2318</v>
      </c>
      <c r="AO644" s="37" t="n">
        <v>153359</v>
      </c>
      <c r="AP644" s="39"/>
    </row>
    <row r="645" customFormat="false" ht="15" hidden="false" customHeight="false" outlineLevel="0" collapsed="false">
      <c r="AN645" s="23" t="s">
        <v>2319</v>
      </c>
      <c r="AO645" s="37" t="n">
        <v>617428</v>
      </c>
      <c r="AP645" s="39"/>
    </row>
    <row r="646" customFormat="false" ht="15" hidden="false" customHeight="false" outlineLevel="0" collapsed="false">
      <c r="AN646" s="23" t="s">
        <v>2320</v>
      </c>
      <c r="AO646" s="37" t="n">
        <v>571221</v>
      </c>
      <c r="AP646" s="39"/>
    </row>
    <row r="647" customFormat="false" ht="15" hidden="false" customHeight="false" outlineLevel="0" collapsed="false">
      <c r="AN647" s="23" t="s">
        <v>2321</v>
      </c>
      <c r="AO647" s="37" t="n">
        <v>555331</v>
      </c>
      <c r="AP647" s="39"/>
    </row>
    <row r="648" customFormat="false" ht="15" hidden="false" customHeight="false" outlineLevel="0" collapsed="false">
      <c r="AN648" s="23" t="s">
        <v>2322</v>
      </c>
      <c r="AO648" s="37" t="n">
        <v>574843</v>
      </c>
      <c r="AP648" s="39"/>
    </row>
    <row r="649" customFormat="false" ht="15" hidden="false" customHeight="false" outlineLevel="0" collapsed="false">
      <c r="AN649" s="23" t="s">
        <v>2323</v>
      </c>
      <c r="AO649" s="37" t="n">
        <v>574846</v>
      </c>
      <c r="AP649" s="39"/>
    </row>
    <row r="650" customFormat="false" ht="15" hidden="false" customHeight="false" outlineLevel="0" collapsed="false">
      <c r="AN650" s="23" t="s">
        <v>2324</v>
      </c>
      <c r="AO650" s="37" t="n">
        <v>574845</v>
      </c>
      <c r="AP650" s="39"/>
    </row>
    <row r="651" customFormat="false" ht="15" hidden="false" customHeight="false" outlineLevel="0" collapsed="false">
      <c r="AN651" s="23" t="s">
        <v>2325</v>
      </c>
      <c r="AO651" s="37" t="n">
        <v>574842</v>
      </c>
      <c r="AP651" s="39"/>
    </row>
    <row r="652" customFormat="false" ht="15" hidden="false" customHeight="false" outlineLevel="0" collapsed="false">
      <c r="AN652" s="23" t="s">
        <v>2326</v>
      </c>
      <c r="AO652" s="37" t="n">
        <v>574844</v>
      </c>
      <c r="AP652" s="39"/>
    </row>
    <row r="653" customFormat="false" ht="15" hidden="false" customHeight="false" outlineLevel="0" collapsed="false">
      <c r="AN653" s="23" t="s">
        <v>2327</v>
      </c>
      <c r="AO653" s="37" t="n">
        <v>575606</v>
      </c>
      <c r="AP653" s="39"/>
    </row>
    <row r="654" customFormat="false" ht="15" hidden="false" customHeight="false" outlineLevel="0" collapsed="false">
      <c r="AN654" s="23" t="s">
        <v>2328</v>
      </c>
      <c r="AO654" s="37" t="n">
        <v>467281</v>
      </c>
      <c r="AP654" s="39"/>
    </row>
    <row r="655" customFormat="false" ht="15" hidden="false" customHeight="false" outlineLevel="0" collapsed="false">
      <c r="AN655" s="23" t="s">
        <v>2329</v>
      </c>
      <c r="AO655" s="37" t="n">
        <v>563713</v>
      </c>
      <c r="AP655" s="39"/>
    </row>
    <row r="656" customFormat="false" ht="15" hidden="false" customHeight="false" outlineLevel="0" collapsed="false">
      <c r="AN656" s="23" t="s">
        <v>2330</v>
      </c>
      <c r="AO656" s="37" t="n">
        <v>563714</v>
      </c>
      <c r="AP656" s="39"/>
    </row>
    <row r="657" customFormat="false" ht="15" hidden="false" customHeight="false" outlineLevel="0" collapsed="false">
      <c r="AN657" s="23" t="s">
        <v>2331</v>
      </c>
      <c r="AO657" s="37" t="n">
        <v>563773</v>
      </c>
      <c r="AP657" s="39"/>
    </row>
    <row r="658" customFormat="false" ht="15" hidden="false" customHeight="false" outlineLevel="0" collapsed="false">
      <c r="AN658" s="23" t="s">
        <v>2332</v>
      </c>
      <c r="AO658" s="37" t="n">
        <v>563772</v>
      </c>
      <c r="AP658" s="39"/>
    </row>
    <row r="659" customFormat="false" ht="15" hidden="false" customHeight="false" outlineLevel="0" collapsed="false">
      <c r="AN659" s="23" t="s">
        <v>2333</v>
      </c>
      <c r="AO659" s="37" t="n">
        <v>555681</v>
      </c>
      <c r="AP659" s="39"/>
    </row>
    <row r="660" customFormat="false" ht="15" hidden="false" customHeight="false" outlineLevel="0" collapsed="false">
      <c r="AN660" s="23" t="s">
        <v>2334</v>
      </c>
      <c r="AO660" s="37" t="n">
        <v>555680</v>
      </c>
      <c r="AP660" s="39"/>
    </row>
    <row r="661" customFormat="false" ht="15" hidden="false" customHeight="false" outlineLevel="0" collapsed="false">
      <c r="AN661" s="23" t="s">
        <v>2335</v>
      </c>
      <c r="AO661" s="37" t="n">
        <v>609077</v>
      </c>
      <c r="AP661" s="39"/>
    </row>
    <row r="662" customFormat="false" ht="15" hidden="false" customHeight="false" outlineLevel="0" collapsed="false">
      <c r="AN662" s="23" t="s">
        <v>2336</v>
      </c>
      <c r="AO662" s="37" t="n">
        <v>575500</v>
      </c>
      <c r="AP662" s="39"/>
    </row>
    <row r="663" customFormat="false" ht="15" hidden="false" customHeight="false" outlineLevel="0" collapsed="false">
      <c r="AN663" s="23" t="s">
        <v>2337</v>
      </c>
      <c r="AO663" s="37" t="n">
        <v>575499</v>
      </c>
      <c r="AP663" s="39"/>
    </row>
    <row r="664" customFormat="false" ht="15" hidden="false" customHeight="false" outlineLevel="0" collapsed="false">
      <c r="AN664" s="23" t="s">
        <v>2338</v>
      </c>
      <c r="AO664" s="37" t="n">
        <v>563890</v>
      </c>
      <c r="AP664" s="39"/>
    </row>
    <row r="665" customFormat="false" ht="15" hidden="false" customHeight="false" outlineLevel="0" collapsed="false">
      <c r="AN665" s="23" t="s">
        <v>2339</v>
      </c>
      <c r="AO665" s="37" t="n">
        <v>235</v>
      </c>
      <c r="AP665" s="39"/>
    </row>
    <row r="666" customFormat="false" ht="15" hidden="false" customHeight="false" outlineLevel="0" collapsed="false">
      <c r="AN666" s="23" t="s">
        <v>2340</v>
      </c>
      <c r="AO666" s="37" t="n">
        <v>617345</v>
      </c>
      <c r="AP666" s="39"/>
    </row>
    <row r="667" customFormat="false" ht="15" hidden="false" customHeight="false" outlineLevel="0" collapsed="false">
      <c r="AN667" s="23" t="s">
        <v>2341</v>
      </c>
      <c r="AO667" s="37" t="n">
        <v>557784</v>
      </c>
      <c r="AP667" s="39"/>
    </row>
    <row r="668" customFormat="false" ht="15" hidden="false" customHeight="false" outlineLevel="0" collapsed="false">
      <c r="AN668" s="23" t="s">
        <v>2342</v>
      </c>
      <c r="AO668" s="37" t="n">
        <v>572609</v>
      </c>
      <c r="AP668" s="39"/>
    </row>
    <row r="669" customFormat="false" ht="15" hidden="false" customHeight="false" outlineLevel="0" collapsed="false">
      <c r="AN669" s="23" t="s">
        <v>2343</v>
      </c>
      <c r="AO669" s="37" t="n">
        <v>564636</v>
      </c>
      <c r="AP669" s="39"/>
    </row>
    <row r="670" customFormat="false" ht="15" hidden="false" customHeight="false" outlineLevel="0" collapsed="false">
      <c r="AN670" s="23" t="s">
        <v>2344</v>
      </c>
      <c r="AO670" s="37" t="n">
        <v>557805</v>
      </c>
      <c r="AP670" s="39"/>
    </row>
    <row r="671" customFormat="false" ht="15" hidden="false" customHeight="false" outlineLevel="0" collapsed="false">
      <c r="AN671" s="23" t="s">
        <v>2345</v>
      </c>
      <c r="AO671" s="37" t="n">
        <v>557810</v>
      </c>
      <c r="AP671" s="39"/>
    </row>
    <row r="672" customFormat="false" ht="15" hidden="false" customHeight="false" outlineLevel="0" collapsed="false">
      <c r="AN672" s="23" t="s">
        <v>2346</v>
      </c>
      <c r="AO672" s="37" t="n">
        <v>306</v>
      </c>
      <c r="AP672" s="39"/>
    </row>
    <row r="673" customFormat="false" ht="15" hidden="false" customHeight="false" outlineLevel="0" collapsed="false">
      <c r="AN673" s="23" t="s">
        <v>2347</v>
      </c>
      <c r="AO673" s="37" t="n">
        <v>563873</v>
      </c>
      <c r="AP673" s="39"/>
    </row>
    <row r="674" customFormat="false" ht="15" hidden="false" customHeight="false" outlineLevel="0" collapsed="false">
      <c r="AN674" s="23" t="s">
        <v>2348</v>
      </c>
      <c r="AO674" s="37" t="n">
        <v>570074</v>
      </c>
      <c r="AP674" s="39"/>
    </row>
    <row r="675" customFormat="false" ht="15" hidden="false" customHeight="false" outlineLevel="0" collapsed="false">
      <c r="AN675" s="23" t="s">
        <v>2349</v>
      </c>
      <c r="AO675" s="37" t="n">
        <v>609637</v>
      </c>
      <c r="AP675" s="39"/>
    </row>
    <row r="676" customFormat="false" ht="15" hidden="false" customHeight="false" outlineLevel="0" collapsed="false">
      <c r="AN676" s="23" t="s">
        <v>2350</v>
      </c>
      <c r="AO676" s="37" t="n">
        <v>606607</v>
      </c>
      <c r="AP676" s="39"/>
    </row>
    <row r="677" customFormat="false" ht="15" hidden="false" customHeight="false" outlineLevel="0" collapsed="false">
      <c r="AN677" s="23" t="s">
        <v>2351</v>
      </c>
      <c r="AO677" s="37" t="n">
        <v>565305</v>
      </c>
      <c r="AP677" s="39"/>
    </row>
    <row r="678" customFormat="false" ht="15" hidden="false" customHeight="false" outlineLevel="0" collapsed="false">
      <c r="AN678" s="23" t="s">
        <v>2352</v>
      </c>
      <c r="AO678" s="37" t="n">
        <v>616919</v>
      </c>
      <c r="AP678" s="39"/>
    </row>
    <row r="679" customFormat="false" ht="15" hidden="false" customHeight="false" outlineLevel="0" collapsed="false">
      <c r="AN679" s="23" t="s">
        <v>2353</v>
      </c>
      <c r="AO679" s="37" t="n">
        <v>566476</v>
      </c>
      <c r="AP679" s="39"/>
    </row>
    <row r="680" customFormat="false" ht="15" hidden="false" customHeight="false" outlineLevel="0" collapsed="false">
      <c r="AN680" s="23" t="s">
        <v>2354</v>
      </c>
      <c r="AO680" s="37" t="n">
        <v>470662</v>
      </c>
      <c r="AP680" s="39"/>
    </row>
    <row r="681" customFormat="false" ht="15" hidden="false" customHeight="false" outlineLevel="0" collapsed="false">
      <c r="AN681" s="23" t="s">
        <v>2355</v>
      </c>
      <c r="AO681" s="37" t="n">
        <v>618481</v>
      </c>
      <c r="AP681" s="39"/>
    </row>
    <row r="682" customFormat="false" ht="15" hidden="false" customHeight="false" outlineLevel="0" collapsed="false">
      <c r="AO682" s="37"/>
      <c r="AP682" s="39"/>
    </row>
    <row r="683" customFormat="false" ht="15" hidden="false" customHeight="false" outlineLevel="0" collapsed="false">
      <c r="AO683" s="37"/>
      <c r="AP683" s="39"/>
    </row>
    <row r="684" customFormat="false" ht="15" hidden="false" customHeight="false" outlineLevel="0" collapsed="false">
      <c r="AO684" s="37"/>
      <c r="AP684" s="39"/>
    </row>
    <row r="685" customFormat="false" ht="15" hidden="false" customHeight="false" outlineLevel="0" collapsed="false">
      <c r="AO685" s="37"/>
      <c r="AP685" s="39"/>
    </row>
    <row r="686" customFormat="false" ht="15" hidden="false" customHeight="false" outlineLevel="0" collapsed="false">
      <c r="AO686" s="37"/>
      <c r="AP686" s="39"/>
    </row>
    <row r="687" customFormat="false" ht="15" hidden="false" customHeight="false" outlineLevel="0" collapsed="false">
      <c r="AO687" s="37"/>
      <c r="AP687" s="39"/>
    </row>
    <row r="688" customFormat="false" ht="15" hidden="false" customHeight="false" outlineLevel="0" collapsed="false">
      <c r="AO688" s="37"/>
      <c r="AP688" s="39"/>
    </row>
    <row r="689" customFormat="false" ht="15" hidden="false" customHeight="false" outlineLevel="0" collapsed="false">
      <c r="AO689" s="37"/>
      <c r="AP689" s="39"/>
    </row>
    <row r="690" customFormat="false" ht="15" hidden="false" customHeight="false" outlineLevel="0" collapsed="false">
      <c r="AO690" s="37"/>
      <c r="AP690" s="39"/>
    </row>
    <row r="691" customFormat="false" ht="15" hidden="false" customHeight="false" outlineLevel="0" collapsed="false">
      <c r="AO691" s="37"/>
      <c r="AP691" s="39"/>
    </row>
    <row r="692" customFormat="false" ht="15" hidden="false" customHeight="false" outlineLevel="0" collapsed="false">
      <c r="AO692" s="37"/>
      <c r="AP692" s="39"/>
    </row>
    <row r="693" customFormat="false" ht="15" hidden="false" customHeight="false" outlineLevel="0" collapsed="false">
      <c r="AO693" s="37"/>
      <c r="AP693" s="39"/>
    </row>
    <row r="694" customFormat="false" ht="15" hidden="false" customHeight="false" outlineLevel="0" collapsed="false">
      <c r="AO694" s="37"/>
      <c r="AP694" s="39"/>
    </row>
    <row r="695" customFormat="false" ht="15" hidden="false" customHeight="false" outlineLevel="0" collapsed="false">
      <c r="AO695" s="37"/>
      <c r="AP695" s="39"/>
    </row>
    <row r="696" customFormat="false" ht="15" hidden="false" customHeight="false" outlineLevel="0" collapsed="false">
      <c r="AO696" s="37"/>
      <c r="AP696" s="39"/>
    </row>
    <row r="697" customFormat="false" ht="15" hidden="false" customHeight="false" outlineLevel="0" collapsed="false">
      <c r="AO697" s="37"/>
      <c r="AP697" s="39"/>
    </row>
    <row r="698" customFormat="false" ht="15" hidden="false" customHeight="false" outlineLevel="0" collapsed="false">
      <c r="AO698" s="37"/>
      <c r="AP698" s="39"/>
    </row>
    <row r="699" customFormat="false" ht="15" hidden="false" customHeight="false" outlineLevel="0" collapsed="false">
      <c r="AO699" s="37"/>
      <c r="AP699" s="39"/>
    </row>
    <row r="700" customFormat="false" ht="15" hidden="false" customHeight="false" outlineLevel="0" collapsed="false">
      <c r="AO700" s="37"/>
      <c r="AP700" s="39"/>
    </row>
    <row r="701" customFormat="false" ht="15" hidden="false" customHeight="false" outlineLevel="0" collapsed="false">
      <c r="AO701" s="37"/>
      <c r="AP701" s="39"/>
    </row>
    <row r="702" customFormat="false" ht="15" hidden="false" customHeight="false" outlineLevel="0" collapsed="false">
      <c r="AO702" s="37"/>
      <c r="AP702" s="39"/>
    </row>
    <row r="703" customFormat="false" ht="15" hidden="false" customHeight="false" outlineLevel="0" collapsed="false">
      <c r="AO703" s="37"/>
      <c r="AP703" s="39"/>
    </row>
    <row r="704" customFormat="false" ht="15" hidden="false" customHeight="false" outlineLevel="0" collapsed="false">
      <c r="AO704" s="37"/>
      <c r="AP704" s="39"/>
    </row>
    <row r="705" customFormat="false" ht="15" hidden="false" customHeight="false" outlineLevel="0" collapsed="false">
      <c r="AO705" s="37"/>
      <c r="AP705" s="39"/>
    </row>
    <row r="706" customFormat="false" ht="15" hidden="false" customHeight="false" outlineLevel="0" collapsed="false">
      <c r="AO706" s="37"/>
      <c r="AP706" s="39"/>
    </row>
    <row r="707" customFormat="false" ht="15" hidden="false" customHeight="false" outlineLevel="0" collapsed="false">
      <c r="AO707" s="37"/>
      <c r="AP707" s="39"/>
    </row>
    <row r="708" customFormat="false" ht="15" hidden="false" customHeight="false" outlineLevel="0" collapsed="false">
      <c r="AO708" s="37"/>
      <c r="AP708" s="39"/>
    </row>
    <row r="709" customFormat="false" ht="15" hidden="false" customHeight="false" outlineLevel="0" collapsed="false">
      <c r="AO709" s="37"/>
      <c r="AP709" s="39"/>
    </row>
    <row r="710" customFormat="false" ht="15" hidden="false" customHeight="false" outlineLevel="0" collapsed="false">
      <c r="AO710" s="37"/>
      <c r="AP710" s="39"/>
    </row>
    <row r="711" customFormat="false" ht="15" hidden="false" customHeight="false" outlineLevel="0" collapsed="false">
      <c r="AO711" s="37"/>
      <c r="AP711" s="39"/>
    </row>
    <row r="712" customFormat="false" ht="15" hidden="false" customHeight="false" outlineLevel="0" collapsed="false">
      <c r="AO712" s="37"/>
      <c r="AP712" s="39"/>
    </row>
    <row r="713" customFormat="false" ht="15" hidden="false" customHeight="false" outlineLevel="0" collapsed="false">
      <c r="AO713" s="37"/>
      <c r="AP713" s="39"/>
    </row>
    <row r="714" customFormat="false" ht="15" hidden="false" customHeight="false" outlineLevel="0" collapsed="false">
      <c r="AO714" s="37"/>
      <c r="AP714" s="39"/>
    </row>
    <row r="715" customFormat="false" ht="15" hidden="false" customHeight="false" outlineLevel="0" collapsed="false">
      <c r="AO715" s="37"/>
      <c r="AP715" s="39"/>
    </row>
    <row r="716" customFormat="false" ht="15" hidden="false" customHeight="false" outlineLevel="0" collapsed="false">
      <c r="AO716" s="37"/>
      <c r="AP716" s="39"/>
    </row>
    <row r="717" customFormat="false" ht="15" hidden="false" customHeight="false" outlineLevel="0" collapsed="false">
      <c r="AO717" s="37"/>
      <c r="AP717" s="39"/>
    </row>
    <row r="718" customFormat="false" ht="15" hidden="false" customHeight="false" outlineLevel="0" collapsed="false">
      <c r="AO718" s="37"/>
      <c r="AP718" s="39"/>
    </row>
    <row r="719" customFormat="false" ht="15" hidden="false" customHeight="false" outlineLevel="0" collapsed="false">
      <c r="AO719" s="37"/>
      <c r="AP719" s="39"/>
    </row>
    <row r="720" customFormat="false" ht="15" hidden="false" customHeight="false" outlineLevel="0" collapsed="false">
      <c r="AO720" s="37"/>
      <c r="AP720" s="39"/>
    </row>
    <row r="721" customFormat="false" ht="15" hidden="false" customHeight="false" outlineLevel="0" collapsed="false">
      <c r="AO721" s="37"/>
      <c r="AP721" s="39"/>
    </row>
    <row r="722" customFormat="false" ht="15" hidden="false" customHeight="false" outlineLevel="0" collapsed="false">
      <c r="AO722" s="37"/>
      <c r="AP722" s="39"/>
    </row>
    <row r="723" customFormat="false" ht="15" hidden="false" customHeight="false" outlineLevel="0" collapsed="false">
      <c r="AO723" s="37"/>
      <c r="AP723" s="39"/>
    </row>
    <row r="724" customFormat="false" ht="15" hidden="false" customHeight="false" outlineLevel="0" collapsed="false">
      <c r="AO724" s="37"/>
      <c r="AP724" s="39"/>
    </row>
  </sheetData>
  <printOptions headings="false" gridLines="false" gridLinesSet="true" horizontalCentered="false" verticalCentered="false"/>
  <pageMargins left="0.7" right="0.7" top="0.75" bottom="0.75" header="0.3" footer="0.511811023622047"/>
  <pageSetup paperSize="9" scale="100" fitToWidth="1" fitToHeight="1" pageOrder="downThenOver" orientation="portrait" blackAndWhite="false" draft="false" cellComments="none" horizontalDpi="300" verticalDpi="300" copies="1"/>
  <headerFooter differentFirst="false" differentOddEven="false">
    <oddHeader>&amp;R&amp;"Calibri,Regular"&amp;1 &amp;K0000ff Internal Document#_x005F_x000d_</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G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37" activeCellId="0" sqref="C37"/>
    </sheetView>
  </sheetViews>
  <sheetFormatPr defaultColWidth="8.46875" defaultRowHeight="15" customHeight="false" zeroHeight="false" outlineLevelRow="0" outlineLevelCol="0"/>
  <cols>
    <col collapsed="false" customWidth="true" hidden="false" outlineLevel="0" max="1" min="1" style="23" width="48.9"/>
  </cols>
  <sheetData>
    <row r="4" customFormat="false" ht="15" hidden="false" customHeight="false" outlineLevel="0" collapsed="false">
      <c r="A4" s="40" t="s">
        <v>2356</v>
      </c>
      <c r="B4" s="41" t="s">
        <v>2357</v>
      </c>
    </row>
    <row r="6" customFormat="false" ht="15" hidden="false" customHeight="false" outlineLevel="0" collapsed="false">
      <c r="B6" s="23" t="s">
        <v>0</v>
      </c>
      <c r="C6" s="23" t="s">
        <v>1</v>
      </c>
      <c r="D6" s="23" t="s">
        <v>2</v>
      </c>
      <c r="E6" s="23" t="s">
        <v>3</v>
      </c>
      <c r="F6" s="23" t="s">
        <v>4</v>
      </c>
      <c r="G6" s="23" t="s">
        <v>5</v>
      </c>
    </row>
    <row r="7" customFormat="false" ht="15" hidden="false" customHeight="false" outlineLevel="0" collapsed="false">
      <c r="B7" s="23" t="s">
        <v>22</v>
      </c>
      <c r="C7" s="23" t="s">
        <v>1042</v>
      </c>
      <c r="D7" s="23" t="s">
        <v>21</v>
      </c>
      <c r="E7" s="23" t="s">
        <v>18</v>
      </c>
      <c r="F7" s="23" t="s">
        <v>16</v>
      </c>
      <c r="G7" s="23" t="s">
        <v>23</v>
      </c>
    </row>
    <row r="8" customFormat="false" ht="15" hidden="false" customHeight="false" outlineLevel="0" collapsed="false">
      <c r="A8" s="42" t="s">
        <v>2358</v>
      </c>
      <c r="B8" s="23" t="e">
        <f aca="false">#N/A</f>
        <v>#N/A</v>
      </c>
    </row>
  </sheetData>
  <hyperlinks>
    <hyperlink ref="B4" r:id="rId1" display="https://scopegroup.sharepoint.com/sites/ScopeData/O%20%20Corporates/Database/Lists/Don't_Touch_List_Data_v2.xlsx"/>
  </hyperlink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33399"/>
    <pageSetUpPr fitToPage="false"/>
  </sheetPr>
  <dimension ref="B1:AA178"/>
  <sheetViews>
    <sheetView showFormulas="false" showGridLines="false" showRowColHeaders="true" showZeros="true" rightToLeft="false" tabSelected="true" showOutlineSymbols="true" defaultGridColor="true" view="normal" topLeftCell="A1" colorId="64" zoomScale="70" zoomScaleNormal="70" zoomScalePageLayoutView="100" workbookViewId="0">
      <selection pane="topLeft" activeCell="D2" activeCellId="0" sqref="D2"/>
    </sheetView>
  </sheetViews>
  <sheetFormatPr defaultColWidth="9.19921875" defaultRowHeight="14.25" customHeight="false" zeroHeight="false" outlineLevelRow="1" outlineLevelCol="1"/>
  <cols>
    <col collapsed="false" customWidth="true" hidden="false" outlineLevel="1" max="1" min="1" style="43" width="3.9"/>
    <col collapsed="false" customWidth="true" hidden="false" outlineLevel="0" max="2" min="2" style="44" width="39.1"/>
    <col collapsed="false" customWidth="true" hidden="false" outlineLevel="0" max="3" min="3" style="45" width="26.79"/>
    <col collapsed="false" customWidth="true" hidden="false" outlineLevel="0" max="4" min="4" style="46" width="17.31"/>
    <col collapsed="false" customWidth="true" hidden="false" outlineLevel="0" max="9" min="5" style="46" width="7"/>
    <col collapsed="false" customWidth="true" hidden="false" outlineLevel="0" max="11" min="10" style="43" width="7"/>
    <col collapsed="false" customWidth="true" hidden="false" outlineLevel="0" max="12" min="12" style="43" width="8.29"/>
    <col collapsed="false" customWidth="true" hidden="false" outlineLevel="1" max="15" min="13" style="43" width="8.29"/>
    <col collapsed="false" customWidth="true" hidden="false" outlineLevel="1" max="25" min="16" style="43" width="10.7"/>
    <col collapsed="false" customWidth="false" hidden="false" outlineLevel="0" max="16384" min="26" style="43" width="9.2"/>
  </cols>
  <sheetData>
    <row r="1" s="43" customFormat="true" ht="24.75" hidden="false" customHeight="true" outlineLevel="0" collapsed="false">
      <c r="B1" s="47"/>
      <c r="C1" s="48"/>
    </row>
    <row r="2" s="43" customFormat="true" ht="33.75" hidden="false" customHeight="true" outlineLevel="0" collapsed="false">
      <c r="B2" s="49" t="s">
        <v>1488</v>
      </c>
      <c r="C2" s="50" t="s">
        <v>2359</v>
      </c>
    </row>
    <row r="3" s="43" customFormat="true" ht="14.25" hidden="false" customHeight="true" outlineLevel="0" collapsed="false">
      <c r="B3" s="51" t="s">
        <v>1599</v>
      </c>
      <c r="C3" s="52" t="s">
        <v>1191</v>
      </c>
    </row>
    <row r="4" customFormat="false" ht="15.75" hidden="false" customHeight="true" outlineLevel="0" collapsed="false">
      <c r="B4" s="47"/>
      <c r="C4" s="48"/>
      <c r="D4" s="48"/>
      <c r="E4" s="48"/>
      <c r="F4" s="48"/>
      <c r="G4" s="48"/>
      <c r="H4" s="48"/>
      <c r="I4" s="48"/>
    </row>
    <row r="5" customFormat="false" ht="79.5" hidden="false" customHeight="true" outlineLevel="0" collapsed="false">
      <c r="B5" s="53" t="s">
        <v>1407</v>
      </c>
      <c r="C5" s="54" t="s">
        <v>938</v>
      </c>
      <c r="D5" s="55" t="s">
        <v>17</v>
      </c>
      <c r="E5" s="55"/>
      <c r="F5" s="55"/>
      <c r="G5" s="55"/>
      <c r="H5" s="55"/>
      <c r="I5" s="56"/>
    </row>
    <row r="6" s="43" customFormat="true" ht="15.75" hidden="false" customHeight="true" outlineLevel="0" collapsed="false">
      <c r="B6" s="47"/>
      <c r="C6" s="48"/>
    </row>
    <row r="7" customFormat="false" ht="27.75" hidden="false" customHeight="true" outlineLevel="0" collapsed="false">
      <c r="B7" s="57" t="s">
        <v>1240</v>
      </c>
      <c r="C7" s="58" t="s">
        <v>43</v>
      </c>
      <c r="D7" s="59"/>
      <c r="E7" s="59"/>
      <c r="F7" s="59"/>
      <c r="G7" s="59"/>
      <c r="H7" s="59"/>
      <c r="I7" s="60"/>
    </row>
    <row r="8" customFormat="false" ht="26.25" hidden="false" customHeight="true" outlineLevel="0" collapsed="false">
      <c r="B8" s="61" t="s">
        <v>1294</v>
      </c>
      <c r="C8" s="62" t="s">
        <v>63</v>
      </c>
      <c r="D8" s="63"/>
      <c r="E8" s="63"/>
      <c r="F8" s="63"/>
      <c r="G8" s="63"/>
      <c r="H8" s="63"/>
      <c r="I8" s="64"/>
    </row>
    <row r="9" customFormat="false" ht="20.25" hidden="false" customHeight="true" outlineLevel="0" collapsed="false">
      <c r="B9" s="65" t="s">
        <v>1614</v>
      </c>
      <c r="C9" s="66" t="n">
        <v>1</v>
      </c>
      <c r="D9" s="67"/>
      <c r="E9" s="67"/>
      <c r="F9" s="67"/>
      <c r="G9" s="67"/>
      <c r="H9" s="67"/>
      <c r="I9" s="68"/>
      <c r="K9" s="69"/>
    </row>
    <row r="10" s="43" customFormat="true" ht="15" hidden="false" customHeight="true" outlineLevel="0" collapsed="false">
      <c r="B10" s="70" t="s">
        <v>1607</v>
      </c>
      <c r="C10" s="71" t="s">
        <v>1010</v>
      </c>
    </row>
    <row r="11" s="43" customFormat="true" ht="15.75" hidden="false" customHeight="true" outlineLevel="0" collapsed="false">
      <c r="B11" s="47"/>
      <c r="C11" s="48"/>
    </row>
    <row r="12" s="43" customFormat="true" ht="15" hidden="false" customHeight="true" outlineLevel="0" collapsed="false">
      <c r="B12" s="72" t="s">
        <v>1153</v>
      </c>
      <c r="C12" s="73" t="s">
        <v>947</v>
      </c>
    </row>
    <row r="13" s="43" customFormat="true" ht="15" hidden="false" customHeight="true" outlineLevel="0" collapsed="false">
      <c r="B13" s="61" t="s">
        <v>1136</v>
      </c>
      <c r="C13" s="74" t="s">
        <v>983</v>
      </c>
    </row>
    <row r="14" s="43" customFormat="true" ht="15" hidden="false" customHeight="true" outlineLevel="0" collapsed="false">
      <c r="B14" s="61" t="s">
        <v>969</v>
      </c>
      <c r="C14" s="75" t="s">
        <v>944</v>
      </c>
    </row>
    <row r="15" s="43" customFormat="true" ht="15.75" hidden="false" customHeight="true" outlineLevel="0" collapsed="false">
      <c r="B15" s="76" t="s">
        <v>1188</v>
      </c>
      <c r="C15" s="52" t="s">
        <v>945</v>
      </c>
    </row>
    <row r="16" s="43" customFormat="true" ht="15" hidden="false" customHeight="true" outlineLevel="0" collapsed="false">
      <c r="B16" s="47"/>
      <c r="C16" s="77"/>
    </row>
    <row r="17" s="43" customFormat="true" ht="15.75" hidden="false" customHeight="true" outlineLevel="0" collapsed="false">
      <c r="B17" s="47"/>
      <c r="C17" s="48"/>
    </row>
    <row r="18" s="43" customFormat="true" ht="15" hidden="false" customHeight="true" outlineLevel="0" collapsed="false">
      <c r="B18" s="78" t="s">
        <v>1068</v>
      </c>
      <c r="C18" s="79" t="s">
        <v>135</v>
      </c>
    </row>
    <row r="19" s="43" customFormat="true" ht="15" hidden="false" customHeight="true" outlineLevel="0" collapsed="false">
      <c r="B19" s="61" t="s">
        <v>1355</v>
      </c>
      <c r="C19" s="75" t="s">
        <v>63</v>
      </c>
    </row>
    <row r="20" s="43" customFormat="true" ht="15" hidden="false" customHeight="true" outlineLevel="0" collapsed="false">
      <c r="B20" s="61" t="s">
        <v>1117</v>
      </c>
      <c r="C20" s="75" t="s">
        <v>135</v>
      </c>
    </row>
    <row r="21" s="43" customFormat="true" ht="15" hidden="false" customHeight="true" outlineLevel="0" collapsed="false">
      <c r="B21" s="61" t="s">
        <v>76</v>
      </c>
      <c r="C21" s="75" t="s">
        <v>122</v>
      </c>
    </row>
    <row r="22" s="43" customFormat="true" ht="15" hidden="false" customHeight="true" outlineLevel="0" collapsed="false">
      <c r="B22" s="61" t="s">
        <v>333</v>
      </c>
      <c r="C22" s="75" t="s">
        <v>135</v>
      </c>
    </row>
    <row r="23" s="43" customFormat="true" ht="15" hidden="false" customHeight="true" outlineLevel="0" collapsed="false">
      <c r="B23" s="61" t="s">
        <v>1480</v>
      </c>
      <c r="C23" s="75" t="s">
        <v>122</v>
      </c>
    </row>
    <row r="24" s="43" customFormat="true" ht="15" hidden="false" customHeight="true" outlineLevel="0" collapsed="false">
      <c r="B24" s="61" t="s">
        <v>1005</v>
      </c>
      <c r="C24" s="75" t="s">
        <v>162</v>
      </c>
    </row>
    <row r="25" s="43" customFormat="true" ht="15.75" hidden="false" customHeight="true" outlineLevel="0" collapsed="false">
      <c r="B25" s="76" t="s">
        <v>1038</v>
      </c>
      <c r="C25" s="52"/>
    </row>
    <row r="26" s="43" customFormat="true" ht="15.75" hidden="false" customHeight="true" outlineLevel="0" collapsed="false">
      <c r="B26" s="44"/>
      <c r="C26" s="45"/>
    </row>
    <row r="27" s="43" customFormat="true" ht="15" hidden="false" customHeight="true" outlineLevel="0" collapsed="false">
      <c r="B27" s="78" t="s">
        <v>1220</v>
      </c>
      <c r="C27" s="79" t="s">
        <v>193</v>
      </c>
    </row>
    <row r="28" s="43" customFormat="true" ht="15" hidden="false" customHeight="true" outlineLevel="0" collapsed="false">
      <c r="B28" s="61" t="s">
        <v>1381</v>
      </c>
      <c r="C28" s="75" t="s">
        <v>172</v>
      </c>
    </row>
    <row r="29" s="43" customFormat="true" ht="15" hidden="false" customHeight="true" outlineLevel="0" collapsed="false">
      <c r="B29" s="61" t="s">
        <v>1168</v>
      </c>
      <c r="C29" s="75" t="s">
        <v>162</v>
      </c>
    </row>
    <row r="30" s="43" customFormat="true" ht="15" hidden="false" customHeight="true" outlineLevel="0" collapsed="false">
      <c r="B30" s="61" t="s">
        <v>1093</v>
      </c>
      <c r="C30" s="75" t="s">
        <v>172</v>
      </c>
    </row>
    <row r="31" s="43" customFormat="true" ht="15.75" hidden="false" customHeight="true" outlineLevel="0" collapsed="false">
      <c r="B31" s="76" t="s">
        <v>1105</v>
      </c>
      <c r="C31" s="52" t="s">
        <v>1122</v>
      </c>
    </row>
    <row r="32" s="43" customFormat="true" ht="15" hidden="false" customHeight="true" outlineLevel="0" collapsed="false">
      <c r="B32" s="47"/>
      <c r="C32" s="48"/>
    </row>
    <row r="33" s="43" customFormat="true" ht="15" hidden="false" customHeight="true" outlineLevel="0" collapsed="false">
      <c r="B33" s="47"/>
      <c r="C33" s="48"/>
    </row>
    <row r="34" s="43" customFormat="true" ht="21.75" hidden="false" customHeight="true" outlineLevel="0" collapsed="false">
      <c r="B34" s="47"/>
      <c r="C34" s="48"/>
    </row>
    <row r="35" customFormat="false" ht="15.75" hidden="false" customHeight="true" outlineLevel="0" collapsed="false">
      <c r="B35" s="80" t="s">
        <v>962</v>
      </c>
      <c r="C35" s="81" t="n">
        <v>2018</v>
      </c>
      <c r="D35" s="81" t="n">
        <v>2019</v>
      </c>
      <c r="E35" s="81" t="n">
        <v>2020</v>
      </c>
      <c r="F35" s="81" t="n">
        <v>2021</v>
      </c>
      <c r="G35" s="81" t="n">
        <v>2022</v>
      </c>
      <c r="H35" s="81" t="n">
        <v>2023</v>
      </c>
      <c r="I35" s="81" t="n">
        <v>2024</v>
      </c>
      <c r="J35" s="81" t="s">
        <v>2360</v>
      </c>
      <c r="K35" s="81" t="s">
        <v>2361</v>
      </c>
      <c r="L35" s="81" t="s">
        <v>2362</v>
      </c>
      <c r="Z35" s="82"/>
    </row>
    <row r="36" customFormat="false" ht="15.75" hidden="false" customHeight="true" outlineLevel="0" collapsed="false">
      <c r="B36" s="83" t="s">
        <v>951</v>
      </c>
      <c r="C36" s="84" t="n">
        <v>27.329</v>
      </c>
      <c r="D36" s="84" t="n">
        <v>27.329</v>
      </c>
      <c r="E36" s="84" t="n">
        <v>27.329</v>
      </c>
      <c r="F36" s="84" t="n">
        <v>4.862</v>
      </c>
      <c r="G36" s="84" t="n">
        <v>4.862</v>
      </c>
      <c r="H36" s="84" t="n">
        <v>4.862</v>
      </c>
      <c r="I36" s="84" t="n">
        <v>36.8</v>
      </c>
      <c r="J36" s="84" t="n">
        <v>36.8</v>
      </c>
      <c r="K36" s="84" t="n">
        <v>18.4912526</v>
      </c>
      <c r="L36" s="84" t="n">
        <v>18.4912526</v>
      </c>
      <c r="M36" s="85" t="s">
        <v>2363</v>
      </c>
      <c r="AA36" s="86"/>
    </row>
    <row r="37" customFormat="false" ht="15.75" hidden="false" customHeight="true" outlineLevel="0" collapsed="false">
      <c r="B37" s="83" t="s">
        <v>988</v>
      </c>
      <c r="C37" s="84" t="n">
        <v>18.4912526</v>
      </c>
      <c r="D37" s="84" t="n">
        <v>18.4912526</v>
      </c>
      <c r="E37" s="84" t="n">
        <v>18.4912526</v>
      </c>
      <c r="F37" s="84" t="n">
        <v>18.4912526</v>
      </c>
      <c r="G37" s="84" t="n">
        <v>18.4912526</v>
      </c>
      <c r="H37" s="84" t="n">
        <v>18.4912526</v>
      </c>
      <c r="I37" s="84" t="n">
        <v>36.8</v>
      </c>
      <c r="J37" s="84" t="n">
        <v>36.8</v>
      </c>
      <c r="K37" s="84" t="n">
        <v>18.4912526</v>
      </c>
      <c r="L37" s="84" t="n">
        <v>18.4912526</v>
      </c>
      <c r="M37" s="85" t="s">
        <v>2363</v>
      </c>
      <c r="AA37" s="86"/>
    </row>
    <row r="38" customFormat="false" ht="15.75" hidden="false" customHeight="true" outlineLevel="1" collapsed="false">
      <c r="B38" s="83" t="s">
        <v>1023</v>
      </c>
      <c r="C38" s="84" t="n">
        <v>27.329</v>
      </c>
      <c r="D38" s="84" t="n">
        <v>27.329</v>
      </c>
      <c r="E38" s="84" t="n">
        <v>27.329</v>
      </c>
      <c r="F38" s="84" t="n">
        <v>36.8</v>
      </c>
      <c r="G38" s="84" t="n">
        <v>36.8</v>
      </c>
      <c r="H38" s="84" t="n">
        <v>27.329</v>
      </c>
      <c r="I38" s="84" t="n">
        <v>27.329</v>
      </c>
      <c r="J38" s="84" t="n">
        <v>27.329</v>
      </c>
      <c r="K38" s="84" t="n">
        <v>27.329</v>
      </c>
      <c r="L38" s="84" t="n">
        <v>4.862</v>
      </c>
      <c r="M38" s="85" t="s">
        <v>2363</v>
      </c>
      <c r="AA38" s="86"/>
    </row>
    <row r="39" customFormat="false" ht="15.75" hidden="false" customHeight="true" outlineLevel="1" collapsed="false">
      <c r="B39" s="83" t="s">
        <v>1052</v>
      </c>
      <c r="C39" s="84" t="n">
        <v>27.329</v>
      </c>
      <c r="D39" s="84" t="n">
        <v>27.329</v>
      </c>
      <c r="E39" s="84" t="n">
        <v>27.329</v>
      </c>
      <c r="F39" s="84" t="n">
        <v>36.8</v>
      </c>
      <c r="G39" s="84" t="n">
        <v>36.8</v>
      </c>
      <c r="H39" s="87" t="s">
        <v>2364</v>
      </c>
      <c r="I39" s="84" t="n">
        <v>27.329</v>
      </c>
      <c r="J39" s="84" t="n">
        <v>27.329</v>
      </c>
      <c r="K39" s="84" t="n">
        <v>27.329</v>
      </c>
      <c r="L39" s="84" t="n">
        <v>4.862</v>
      </c>
      <c r="M39" s="85" t="s">
        <v>2363</v>
      </c>
      <c r="AA39" s="86"/>
    </row>
    <row r="40" customFormat="false" ht="15.75" hidden="false" customHeight="true" outlineLevel="0" collapsed="false">
      <c r="B40" s="83" t="s">
        <v>1080</v>
      </c>
      <c r="C40" s="84" t="n">
        <v>21.5318574237488</v>
      </c>
      <c r="D40" s="84" t="n">
        <v>21.5318574237488</v>
      </c>
      <c r="E40" s="84" t="n">
        <v>21.5318574237488</v>
      </c>
      <c r="F40" s="84" t="n">
        <v>21.5318574237488</v>
      </c>
      <c r="G40" s="84" t="n">
        <v>4.862</v>
      </c>
      <c r="H40" s="84" t="n">
        <v>4.862</v>
      </c>
      <c r="I40" s="84" t="n">
        <v>4.862</v>
      </c>
      <c r="J40" s="84" t="n">
        <v>4.862</v>
      </c>
      <c r="K40" s="84" t="n">
        <v>4.862</v>
      </c>
      <c r="L40" s="84" t="n">
        <v>4.862</v>
      </c>
      <c r="M40" s="85" t="s">
        <v>2363</v>
      </c>
      <c r="AA40" s="86"/>
    </row>
    <row r="41" customFormat="false" ht="15.75" hidden="false" customHeight="true" outlineLevel="0" collapsed="false">
      <c r="B41" s="88" t="s">
        <v>1105</v>
      </c>
      <c r="C41" s="84" t="n">
        <v>4.862</v>
      </c>
      <c r="D41" s="84" t="n">
        <v>4.862</v>
      </c>
      <c r="E41" s="84" t="n">
        <v>4.862</v>
      </c>
      <c r="F41" s="84" t="n">
        <v>21.5318574237488</v>
      </c>
      <c r="G41" s="84" t="n">
        <v>21.5318574237488</v>
      </c>
      <c r="H41" s="84" t="n">
        <v>21.5318574237488</v>
      </c>
      <c r="I41" s="84" t="n">
        <v>21.5318574237488</v>
      </c>
      <c r="J41" s="84" t="n">
        <v>21.5318574237488</v>
      </c>
      <c r="K41" s="84" t="n">
        <v>21.5318574237488</v>
      </c>
      <c r="L41" s="84" t="n">
        <v>21.5318574237488</v>
      </c>
      <c r="M41" s="85" t="s">
        <v>2363</v>
      </c>
      <c r="AA41" s="86"/>
    </row>
    <row r="42" s="43" customFormat="true" ht="15.75" hidden="false" customHeight="true" outlineLevel="0" collapsed="false">
      <c r="B42" s="47"/>
      <c r="C42" s="48"/>
    </row>
    <row r="43" s="43" customFormat="true" ht="14.25" hidden="false" customHeight="false" outlineLevel="0" collapsed="false">
      <c r="B43" s="47"/>
      <c r="C43" s="48"/>
    </row>
    <row r="44" s="43" customFormat="true" ht="14.25" hidden="false" customHeight="false" outlineLevel="0" collapsed="false">
      <c r="B44" s="47"/>
      <c r="C44" s="48"/>
    </row>
    <row r="45" s="43" customFormat="true" ht="14.25" hidden="false" customHeight="false" outlineLevel="0" collapsed="false">
      <c r="B45" s="47"/>
      <c r="C45" s="48"/>
    </row>
    <row r="46" s="43" customFormat="true" ht="14.25" hidden="false" customHeight="false" outlineLevel="0" collapsed="false">
      <c r="B46" s="47"/>
      <c r="C46" s="48"/>
    </row>
    <row r="47" s="43" customFormat="true" ht="14.25" hidden="false" customHeight="false" outlineLevel="0" collapsed="false">
      <c r="B47" s="47"/>
      <c r="C47" s="48"/>
    </row>
    <row r="48" s="43" customFormat="true" ht="14.25" hidden="false" customHeight="false" outlineLevel="0" collapsed="false">
      <c r="B48" s="47"/>
      <c r="C48" s="48"/>
    </row>
    <row r="49" s="43" customFormat="true" ht="14.25" hidden="false" customHeight="false" outlineLevel="0" collapsed="false">
      <c r="B49" s="47"/>
      <c r="C49" s="48"/>
    </row>
    <row r="50" s="43" customFormat="true" ht="14.25" hidden="false" customHeight="false" outlineLevel="0" collapsed="false">
      <c r="B50" s="47"/>
      <c r="C50" s="48"/>
    </row>
    <row r="51" s="43" customFormat="true" ht="14.25" hidden="false" customHeight="false" outlineLevel="0" collapsed="false">
      <c r="B51" s="47"/>
      <c r="C51" s="48"/>
    </row>
    <row r="52" s="43" customFormat="true" ht="14.25" hidden="false" customHeight="false" outlineLevel="0" collapsed="false">
      <c r="B52" s="47"/>
      <c r="C52" s="48"/>
    </row>
    <row r="53" s="43" customFormat="true" ht="14.25" hidden="false" customHeight="false" outlineLevel="0" collapsed="false">
      <c r="B53" s="47"/>
      <c r="C53" s="48"/>
    </row>
    <row r="54" s="43" customFormat="true" ht="14.25" hidden="false" customHeight="false" outlineLevel="0" collapsed="false">
      <c r="B54" s="47"/>
      <c r="C54" s="48"/>
    </row>
    <row r="55" s="43" customFormat="true" ht="14.25" hidden="false" customHeight="false" outlineLevel="0" collapsed="false">
      <c r="B55" s="47"/>
      <c r="C55" s="48"/>
    </row>
    <row r="56" s="43" customFormat="true" ht="14.25" hidden="false" customHeight="false" outlineLevel="0" collapsed="false">
      <c r="B56" s="47"/>
      <c r="C56" s="48"/>
    </row>
    <row r="57" s="43" customFormat="true" ht="14.25" hidden="false" customHeight="false" outlineLevel="0" collapsed="false">
      <c r="B57" s="47"/>
      <c r="C57" s="48"/>
    </row>
    <row r="58" s="43" customFormat="true" ht="14.25" hidden="false" customHeight="false" outlineLevel="0" collapsed="false">
      <c r="B58" s="47"/>
      <c r="C58" s="48"/>
    </row>
    <row r="59" s="43" customFormat="true" ht="14.25" hidden="false" customHeight="false" outlineLevel="0" collapsed="false">
      <c r="B59" s="47"/>
      <c r="C59" s="48"/>
    </row>
    <row r="60" s="43" customFormat="true" ht="14.25" hidden="false" customHeight="false" outlineLevel="0" collapsed="false">
      <c r="B60" s="47"/>
      <c r="C60" s="48"/>
    </row>
    <row r="61" s="43" customFormat="true" ht="14.25" hidden="false" customHeight="false" outlineLevel="0" collapsed="false">
      <c r="B61" s="47"/>
      <c r="C61" s="48"/>
    </row>
    <row r="62" s="43" customFormat="true" ht="14.25" hidden="false" customHeight="false" outlineLevel="0" collapsed="false">
      <c r="B62" s="47"/>
      <c r="C62" s="48"/>
    </row>
    <row r="63" s="43" customFormat="true" ht="14.25" hidden="false" customHeight="false" outlineLevel="0" collapsed="false">
      <c r="B63" s="47"/>
      <c r="C63" s="48"/>
    </row>
    <row r="64" s="43" customFormat="true" ht="14.25" hidden="false" customHeight="false" outlineLevel="0" collapsed="false">
      <c r="B64" s="47"/>
      <c r="C64" s="48"/>
    </row>
    <row r="65" s="43" customFormat="true" ht="14.25" hidden="false" customHeight="false" outlineLevel="0" collapsed="false">
      <c r="B65" s="47"/>
      <c r="C65" s="48"/>
    </row>
    <row r="66" s="43" customFormat="true" ht="14.25" hidden="false" customHeight="false" outlineLevel="0" collapsed="false">
      <c r="B66" s="47"/>
      <c r="C66" s="48"/>
    </row>
    <row r="67" s="43" customFormat="true" ht="14.25" hidden="false" customHeight="false" outlineLevel="0" collapsed="false">
      <c r="B67" s="47"/>
      <c r="C67" s="48"/>
    </row>
    <row r="68" s="43" customFormat="true" ht="14.25" hidden="false" customHeight="false" outlineLevel="0" collapsed="false">
      <c r="B68" s="47"/>
      <c r="C68" s="48"/>
    </row>
    <row r="69" s="43" customFormat="true" ht="14.25" hidden="false" customHeight="false" outlineLevel="0" collapsed="false">
      <c r="B69" s="47"/>
      <c r="C69" s="48"/>
    </row>
    <row r="70" s="43" customFormat="true" ht="14.25" hidden="false" customHeight="false" outlineLevel="0" collapsed="false">
      <c r="B70" s="47"/>
      <c r="C70" s="48"/>
    </row>
    <row r="71" s="43" customFormat="true" ht="14.25" hidden="false" customHeight="false" outlineLevel="0" collapsed="false">
      <c r="B71" s="47"/>
      <c r="C71" s="48"/>
    </row>
    <row r="72" s="43" customFormat="true" ht="14.25" hidden="false" customHeight="false" outlineLevel="0" collapsed="false">
      <c r="B72" s="47"/>
      <c r="C72" s="48"/>
    </row>
    <row r="73" s="43" customFormat="true" ht="14.25" hidden="false" customHeight="false" outlineLevel="0" collapsed="false">
      <c r="B73" s="47"/>
      <c r="C73" s="48"/>
    </row>
    <row r="74" s="43" customFormat="true" ht="14.25" hidden="false" customHeight="false" outlineLevel="0" collapsed="false">
      <c r="B74" s="47"/>
      <c r="C74" s="48"/>
    </row>
    <row r="75" s="43" customFormat="true" ht="14.25" hidden="false" customHeight="false" outlineLevel="0" collapsed="false">
      <c r="B75" s="47"/>
      <c r="C75" s="48"/>
    </row>
    <row r="76" s="43" customFormat="true" ht="14.25" hidden="false" customHeight="false" outlineLevel="0" collapsed="false">
      <c r="B76" s="47"/>
      <c r="C76" s="48"/>
    </row>
    <row r="77" s="43" customFormat="true" ht="14.25" hidden="false" customHeight="false" outlineLevel="0" collapsed="false">
      <c r="B77" s="47"/>
      <c r="C77" s="48"/>
    </row>
    <row r="78" s="43" customFormat="true" ht="14.25" hidden="false" customHeight="false" outlineLevel="0" collapsed="false">
      <c r="B78" s="47"/>
      <c r="C78" s="48"/>
    </row>
    <row r="79" s="43" customFormat="true" ht="14.25" hidden="false" customHeight="false" outlineLevel="0" collapsed="false">
      <c r="B79" s="47"/>
      <c r="C79" s="48"/>
    </row>
    <row r="80" s="43" customFormat="true" ht="14.25" hidden="false" customHeight="false" outlineLevel="0" collapsed="false">
      <c r="B80" s="47"/>
      <c r="C80" s="48"/>
    </row>
    <row r="81" s="43" customFormat="true" ht="14.25" hidden="false" customHeight="false" outlineLevel="0" collapsed="false">
      <c r="B81" s="47"/>
      <c r="C81" s="48"/>
    </row>
    <row r="82" s="43" customFormat="true" ht="14.25" hidden="false" customHeight="false" outlineLevel="0" collapsed="false">
      <c r="B82" s="47"/>
      <c r="C82" s="48"/>
    </row>
    <row r="83" s="43" customFormat="true" ht="14.25" hidden="false" customHeight="false" outlineLevel="0" collapsed="false">
      <c r="B83" s="47"/>
      <c r="C83" s="48"/>
    </row>
    <row r="84" s="43" customFormat="true" ht="14.25" hidden="false" customHeight="false" outlineLevel="0" collapsed="false">
      <c r="B84" s="47"/>
      <c r="C84" s="48"/>
    </row>
    <row r="85" s="43" customFormat="true" ht="14.25" hidden="false" customHeight="false" outlineLevel="0" collapsed="false">
      <c r="B85" s="47"/>
      <c r="C85" s="48"/>
    </row>
    <row r="86" s="43" customFormat="true" ht="14.25" hidden="false" customHeight="false" outlineLevel="0" collapsed="false">
      <c r="B86" s="47"/>
      <c r="C86" s="48"/>
    </row>
    <row r="87" s="43" customFormat="true" ht="14.25" hidden="false" customHeight="false" outlineLevel="0" collapsed="false">
      <c r="B87" s="47"/>
      <c r="C87" s="48"/>
    </row>
    <row r="88" s="43" customFormat="true" ht="14.25" hidden="false" customHeight="false" outlineLevel="0" collapsed="false">
      <c r="B88" s="47"/>
      <c r="C88" s="48"/>
    </row>
    <row r="89" s="43" customFormat="true" ht="14.25" hidden="false" customHeight="false" outlineLevel="0" collapsed="false">
      <c r="B89" s="47"/>
      <c r="C89" s="48"/>
    </row>
    <row r="90" s="43" customFormat="true" ht="14.25" hidden="false" customHeight="false" outlineLevel="0" collapsed="false">
      <c r="B90" s="47"/>
      <c r="C90" s="48"/>
    </row>
    <row r="91" s="43" customFormat="true" ht="14.25" hidden="false" customHeight="false" outlineLevel="0" collapsed="false">
      <c r="B91" s="47"/>
      <c r="C91" s="48"/>
    </row>
    <row r="92" s="43" customFormat="true" ht="14.25" hidden="false" customHeight="false" outlineLevel="0" collapsed="false">
      <c r="B92" s="47"/>
      <c r="C92" s="48"/>
    </row>
    <row r="93" s="43" customFormat="true" ht="14.25" hidden="false" customHeight="false" outlineLevel="0" collapsed="false">
      <c r="B93" s="47"/>
      <c r="C93" s="48"/>
    </row>
    <row r="94" s="43" customFormat="true" ht="14.25" hidden="false" customHeight="false" outlineLevel="0" collapsed="false">
      <c r="B94" s="47"/>
      <c r="C94" s="48"/>
    </row>
    <row r="95" s="43" customFormat="true" ht="14.25" hidden="false" customHeight="false" outlineLevel="0" collapsed="false">
      <c r="B95" s="47"/>
      <c r="C95" s="48"/>
    </row>
    <row r="96" s="43" customFormat="true" ht="14.25" hidden="false" customHeight="false" outlineLevel="0" collapsed="false">
      <c r="B96" s="47"/>
      <c r="C96" s="48"/>
    </row>
    <row r="97" s="43" customFormat="true" ht="14.25" hidden="false" customHeight="false" outlineLevel="0" collapsed="false">
      <c r="B97" s="47"/>
      <c r="C97" s="48"/>
    </row>
    <row r="98" s="43" customFormat="true" ht="14.25" hidden="false" customHeight="false" outlineLevel="0" collapsed="false">
      <c r="B98" s="47"/>
      <c r="C98" s="48"/>
    </row>
    <row r="99" s="43" customFormat="true" ht="14.25" hidden="false" customHeight="false" outlineLevel="0" collapsed="false">
      <c r="B99" s="47"/>
      <c r="C99" s="48"/>
    </row>
    <row r="100" s="43" customFormat="true" ht="14.25" hidden="false" customHeight="false" outlineLevel="0" collapsed="false">
      <c r="B100" s="47"/>
      <c r="C100" s="48"/>
    </row>
    <row r="101" s="43" customFormat="true" ht="14.25" hidden="false" customHeight="false" outlineLevel="0" collapsed="false">
      <c r="B101" s="47"/>
      <c r="C101" s="48"/>
    </row>
    <row r="102" s="43" customFormat="true" ht="14.25" hidden="false" customHeight="false" outlineLevel="0" collapsed="false">
      <c r="B102" s="47"/>
      <c r="C102" s="48"/>
    </row>
    <row r="103" s="43" customFormat="true" ht="14.25" hidden="false" customHeight="false" outlineLevel="0" collapsed="false">
      <c r="B103" s="47"/>
      <c r="C103" s="48"/>
    </row>
    <row r="104" s="43" customFormat="true" ht="14.25" hidden="false" customHeight="false" outlineLevel="0" collapsed="false">
      <c r="B104" s="47"/>
      <c r="C104" s="48"/>
    </row>
    <row r="105" s="43" customFormat="true" ht="14.25" hidden="false" customHeight="false" outlineLevel="0" collapsed="false">
      <c r="B105" s="47"/>
      <c r="C105" s="48"/>
    </row>
    <row r="106" s="43" customFormat="true" ht="14.25" hidden="false" customHeight="false" outlineLevel="0" collapsed="false">
      <c r="B106" s="47"/>
      <c r="C106" s="48"/>
    </row>
    <row r="107" s="43" customFormat="true" ht="14.25" hidden="false" customHeight="false" outlineLevel="0" collapsed="false">
      <c r="B107" s="47"/>
      <c r="C107" s="48"/>
    </row>
    <row r="108" s="43" customFormat="true" ht="14.25" hidden="false" customHeight="false" outlineLevel="0" collapsed="false">
      <c r="B108" s="47"/>
      <c r="C108" s="48"/>
    </row>
    <row r="109" s="43" customFormat="true" ht="14.25" hidden="false" customHeight="false" outlineLevel="0" collapsed="false">
      <c r="B109" s="47"/>
      <c r="C109" s="48"/>
    </row>
    <row r="110" s="43" customFormat="true" ht="14.25" hidden="false" customHeight="false" outlineLevel="0" collapsed="false">
      <c r="B110" s="47"/>
      <c r="C110" s="48"/>
    </row>
    <row r="111" s="43" customFormat="true" ht="14.25" hidden="false" customHeight="false" outlineLevel="0" collapsed="false">
      <c r="B111" s="47"/>
      <c r="C111" s="48"/>
    </row>
    <row r="112" s="43" customFormat="true" ht="14.25" hidden="false" customHeight="false" outlineLevel="0" collapsed="false">
      <c r="B112" s="47"/>
      <c r="C112" s="48"/>
    </row>
    <row r="113" s="43" customFormat="true" ht="14.25" hidden="false" customHeight="false" outlineLevel="0" collapsed="false">
      <c r="B113" s="47"/>
      <c r="C113" s="48"/>
    </row>
    <row r="114" s="43" customFormat="true" ht="14.25" hidden="false" customHeight="false" outlineLevel="0" collapsed="false">
      <c r="B114" s="47"/>
      <c r="C114" s="48"/>
    </row>
    <row r="115" s="43" customFormat="true" ht="14.25" hidden="false" customHeight="false" outlineLevel="0" collapsed="false">
      <c r="B115" s="47"/>
      <c r="C115" s="48"/>
    </row>
    <row r="116" s="43" customFormat="true" ht="14.25" hidden="false" customHeight="false" outlineLevel="0" collapsed="false">
      <c r="B116" s="47"/>
      <c r="C116" s="48"/>
    </row>
    <row r="117" s="43" customFormat="true" ht="14.25" hidden="false" customHeight="false" outlineLevel="0" collapsed="false">
      <c r="B117" s="47"/>
      <c r="C117" s="48"/>
    </row>
    <row r="118" s="43" customFormat="true" ht="14.25" hidden="false" customHeight="false" outlineLevel="0" collapsed="false">
      <c r="B118" s="47"/>
      <c r="C118" s="48"/>
    </row>
    <row r="119" s="43" customFormat="true" ht="14.25" hidden="false" customHeight="false" outlineLevel="0" collapsed="false">
      <c r="B119" s="47"/>
      <c r="C119" s="48"/>
    </row>
    <row r="120" s="43" customFormat="true" ht="14.25" hidden="false" customHeight="false" outlineLevel="0" collapsed="false">
      <c r="B120" s="47"/>
      <c r="C120" s="48"/>
    </row>
    <row r="121" s="43" customFormat="true" ht="14.25" hidden="false" customHeight="false" outlineLevel="0" collapsed="false">
      <c r="B121" s="47"/>
      <c r="C121" s="48"/>
    </row>
    <row r="122" s="43" customFormat="true" ht="14.25" hidden="false" customHeight="false" outlineLevel="0" collapsed="false">
      <c r="B122" s="47"/>
      <c r="C122" s="48"/>
    </row>
    <row r="123" s="43" customFormat="true" ht="14.25" hidden="false" customHeight="false" outlineLevel="0" collapsed="false">
      <c r="B123" s="47"/>
      <c r="C123" s="48"/>
    </row>
    <row r="124" s="43" customFormat="true" ht="14.25" hidden="false" customHeight="false" outlineLevel="0" collapsed="false">
      <c r="B124" s="47"/>
      <c r="C124" s="48"/>
    </row>
    <row r="125" s="43" customFormat="true" ht="14.25" hidden="false" customHeight="false" outlineLevel="0" collapsed="false">
      <c r="B125" s="47"/>
      <c r="C125" s="48"/>
    </row>
    <row r="126" s="43" customFormat="true" ht="14.25" hidden="false" customHeight="false" outlineLevel="0" collapsed="false">
      <c r="B126" s="47"/>
      <c r="C126" s="48"/>
    </row>
    <row r="127" s="43" customFormat="true" ht="14.25" hidden="false" customHeight="false" outlineLevel="0" collapsed="false">
      <c r="B127" s="47"/>
      <c r="C127" s="48"/>
    </row>
    <row r="128" s="43" customFormat="true" ht="14.25" hidden="false" customHeight="false" outlineLevel="0" collapsed="false">
      <c r="B128" s="47"/>
      <c r="C128" s="48"/>
    </row>
    <row r="129" s="43" customFormat="true" ht="14.25" hidden="false" customHeight="false" outlineLevel="0" collapsed="false">
      <c r="B129" s="47"/>
      <c r="C129" s="48"/>
    </row>
    <row r="130" s="43" customFormat="true" ht="14.25" hidden="false" customHeight="false" outlineLevel="0" collapsed="false">
      <c r="B130" s="47"/>
      <c r="C130" s="48"/>
    </row>
    <row r="131" s="43" customFormat="true" ht="14.25" hidden="false" customHeight="false" outlineLevel="0" collapsed="false">
      <c r="B131" s="47"/>
      <c r="C131" s="48"/>
    </row>
    <row r="132" s="43" customFormat="true" ht="14.25" hidden="false" customHeight="false" outlineLevel="0" collapsed="false">
      <c r="B132" s="47"/>
      <c r="C132" s="48"/>
    </row>
    <row r="133" s="43" customFormat="true" ht="14.25" hidden="false" customHeight="false" outlineLevel="0" collapsed="false">
      <c r="B133" s="47"/>
      <c r="C133" s="48"/>
    </row>
    <row r="134" s="43" customFormat="true" ht="14.25" hidden="false" customHeight="false" outlineLevel="0" collapsed="false">
      <c r="B134" s="47"/>
      <c r="C134" s="48"/>
    </row>
    <row r="135" s="43" customFormat="true" ht="14.25" hidden="false" customHeight="false" outlineLevel="0" collapsed="false">
      <c r="B135" s="47"/>
      <c r="C135" s="48"/>
    </row>
    <row r="136" s="43" customFormat="true" ht="14.25" hidden="false" customHeight="false" outlineLevel="0" collapsed="false">
      <c r="B136" s="47"/>
      <c r="C136" s="48"/>
    </row>
    <row r="137" s="43" customFormat="true" ht="14.25" hidden="false" customHeight="false" outlineLevel="0" collapsed="false">
      <c r="B137" s="47"/>
      <c r="C137" s="48"/>
    </row>
    <row r="138" s="43" customFormat="true" ht="14.25" hidden="false" customHeight="false" outlineLevel="0" collapsed="false">
      <c r="B138" s="47"/>
      <c r="C138" s="48"/>
    </row>
    <row r="139" s="43" customFormat="true" ht="14.25" hidden="false" customHeight="false" outlineLevel="0" collapsed="false">
      <c r="B139" s="47"/>
      <c r="C139" s="48"/>
    </row>
    <row r="140" s="43" customFormat="true" ht="14.25" hidden="false" customHeight="false" outlineLevel="0" collapsed="false">
      <c r="B140" s="47"/>
      <c r="C140" s="48"/>
    </row>
    <row r="141" s="43" customFormat="true" ht="14.25" hidden="false" customHeight="false" outlineLevel="0" collapsed="false">
      <c r="B141" s="47"/>
      <c r="C141" s="48"/>
    </row>
    <row r="142" s="43" customFormat="true" ht="14.25" hidden="false" customHeight="false" outlineLevel="0" collapsed="false">
      <c r="B142" s="47"/>
      <c r="C142" s="48"/>
    </row>
    <row r="143" s="43" customFormat="true" ht="14.25" hidden="false" customHeight="false" outlineLevel="0" collapsed="false">
      <c r="B143" s="47"/>
      <c r="C143" s="48"/>
    </row>
    <row r="144" s="43" customFormat="true" ht="14.25" hidden="false" customHeight="false" outlineLevel="0" collapsed="false">
      <c r="B144" s="47"/>
      <c r="C144" s="48"/>
    </row>
    <row r="145" s="43" customFormat="true" ht="14.25" hidden="false" customHeight="false" outlineLevel="0" collapsed="false">
      <c r="B145" s="47"/>
      <c r="C145" s="48"/>
    </row>
    <row r="146" s="43" customFormat="true" ht="14.25" hidden="false" customHeight="false" outlineLevel="0" collapsed="false">
      <c r="B146" s="47"/>
      <c r="C146" s="48"/>
    </row>
    <row r="147" s="43" customFormat="true" ht="14.25" hidden="false" customHeight="false" outlineLevel="0" collapsed="false">
      <c r="B147" s="47"/>
      <c r="C147" s="48"/>
    </row>
    <row r="148" s="43" customFormat="true" ht="14.25" hidden="false" customHeight="false" outlineLevel="0" collapsed="false">
      <c r="B148" s="47"/>
      <c r="C148" s="48"/>
    </row>
    <row r="149" s="43" customFormat="true" ht="14.25" hidden="false" customHeight="false" outlineLevel="0" collapsed="false">
      <c r="B149" s="47"/>
      <c r="C149" s="48"/>
    </row>
    <row r="150" s="43" customFormat="true" ht="14.25" hidden="false" customHeight="false" outlineLevel="0" collapsed="false">
      <c r="B150" s="47"/>
      <c r="C150" s="48"/>
    </row>
    <row r="151" s="43" customFormat="true" ht="14.25" hidden="false" customHeight="false" outlineLevel="0" collapsed="false">
      <c r="B151" s="47"/>
      <c r="C151" s="48"/>
    </row>
    <row r="152" s="43" customFormat="true" ht="14.25" hidden="false" customHeight="false" outlineLevel="0" collapsed="false">
      <c r="B152" s="47"/>
      <c r="C152" s="48"/>
    </row>
    <row r="153" s="43" customFormat="true" ht="14.25" hidden="false" customHeight="false" outlineLevel="0" collapsed="false">
      <c r="B153" s="47"/>
      <c r="C153" s="48"/>
    </row>
    <row r="154" s="43" customFormat="true" ht="14.25" hidden="false" customHeight="false" outlineLevel="0" collapsed="false">
      <c r="B154" s="47"/>
      <c r="C154" s="48"/>
    </row>
    <row r="155" s="43" customFormat="true" ht="14.25" hidden="false" customHeight="false" outlineLevel="0" collapsed="false">
      <c r="B155" s="47"/>
      <c r="C155" s="48"/>
    </row>
    <row r="156" s="43" customFormat="true" ht="14.25" hidden="false" customHeight="false" outlineLevel="0" collapsed="false">
      <c r="B156" s="47"/>
      <c r="C156" s="48"/>
    </row>
    <row r="157" s="43" customFormat="true" ht="14.25" hidden="false" customHeight="false" outlineLevel="0" collapsed="false">
      <c r="B157" s="47"/>
      <c r="C157" s="48"/>
    </row>
    <row r="158" s="43" customFormat="true" ht="14.25" hidden="false" customHeight="false" outlineLevel="0" collapsed="false">
      <c r="B158" s="47"/>
      <c r="C158" s="48"/>
    </row>
    <row r="159" s="43" customFormat="true" ht="14.25" hidden="false" customHeight="false" outlineLevel="0" collapsed="false">
      <c r="B159" s="47"/>
      <c r="C159" s="48"/>
    </row>
    <row r="160" s="43" customFormat="true" ht="14.25" hidden="false" customHeight="false" outlineLevel="0" collapsed="false">
      <c r="B160" s="47"/>
      <c r="C160" s="48"/>
    </row>
    <row r="161" s="43" customFormat="true" ht="14.25" hidden="false" customHeight="false" outlineLevel="0" collapsed="false">
      <c r="B161" s="47"/>
      <c r="C161" s="48"/>
    </row>
    <row r="162" s="43" customFormat="true" ht="14.25" hidden="false" customHeight="false" outlineLevel="0" collapsed="false">
      <c r="B162" s="47"/>
      <c r="C162" s="48"/>
    </row>
    <row r="163" s="43" customFormat="true" ht="14.25" hidden="false" customHeight="false" outlineLevel="0" collapsed="false">
      <c r="B163" s="47"/>
      <c r="C163" s="48"/>
    </row>
    <row r="164" s="43" customFormat="true" ht="14.25" hidden="false" customHeight="false" outlineLevel="0" collapsed="false">
      <c r="B164" s="47"/>
      <c r="C164" s="48"/>
    </row>
    <row r="165" s="43" customFormat="true" ht="14.25" hidden="false" customHeight="false" outlineLevel="0" collapsed="false">
      <c r="B165" s="47"/>
      <c r="C165" s="48"/>
    </row>
    <row r="166" s="43" customFormat="true" ht="14.25" hidden="false" customHeight="false" outlineLevel="0" collapsed="false">
      <c r="B166" s="47"/>
      <c r="C166" s="48"/>
    </row>
    <row r="167" s="43" customFormat="true" ht="14.25" hidden="false" customHeight="false" outlineLevel="0" collapsed="false">
      <c r="B167" s="47"/>
      <c r="C167" s="48"/>
    </row>
    <row r="168" s="43" customFormat="true" ht="14.25" hidden="false" customHeight="false" outlineLevel="0" collapsed="false">
      <c r="B168" s="47"/>
      <c r="C168" s="48"/>
    </row>
    <row r="169" s="43" customFormat="true" ht="14.25" hidden="false" customHeight="false" outlineLevel="0" collapsed="false">
      <c r="B169" s="47"/>
      <c r="C169" s="48"/>
    </row>
    <row r="170" s="43" customFormat="true" ht="14.25" hidden="false" customHeight="false" outlineLevel="0" collapsed="false">
      <c r="B170" s="47"/>
      <c r="C170" s="48"/>
    </row>
    <row r="171" s="43" customFormat="true" ht="14.25" hidden="false" customHeight="false" outlineLevel="0" collapsed="false">
      <c r="B171" s="47"/>
      <c r="C171" s="48"/>
    </row>
    <row r="172" s="43" customFormat="true" ht="14.25" hidden="false" customHeight="false" outlineLevel="0" collapsed="false">
      <c r="B172" s="47"/>
      <c r="C172" s="48"/>
    </row>
    <row r="173" s="43" customFormat="true" ht="14.25" hidden="false" customHeight="false" outlineLevel="0" collapsed="false">
      <c r="B173" s="47"/>
      <c r="C173" s="48"/>
    </row>
    <row r="174" s="43" customFormat="true" ht="14.25" hidden="false" customHeight="false" outlineLevel="0" collapsed="false">
      <c r="B174" s="47"/>
      <c r="C174" s="48"/>
    </row>
    <row r="175" s="43" customFormat="true" ht="14.25" hidden="false" customHeight="false" outlineLevel="0" collapsed="false">
      <c r="B175" s="47"/>
      <c r="C175" s="48"/>
    </row>
    <row r="176" s="43" customFormat="true" ht="14.25" hidden="false" customHeight="false" outlineLevel="0" collapsed="false">
      <c r="B176" s="47"/>
      <c r="C176" s="48"/>
    </row>
    <row r="177" s="43" customFormat="true" ht="14.25" hidden="false" customHeight="false" outlineLevel="0" collapsed="false">
      <c r="B177" s="47"/>
      <c r="C177" s="48"/>
    </row>
    <row r="178" s="43" customFormat="true" ht="14.25" hidden="false" customHeight="false" outlineLevel="0" collapsed="false">
      <c r="B178" s="44"/>
      <c r="C178" s="45"/>
    </row>
  </sheetData>
  <dataValidations count="12">
    <dataValidation allowBlank="true" errorStyle="stop" operator="between" showDropDown="false" showErrorMessage="true" showInputMessage="true" sqref="C18:C25 C27:C30" type="list">
      <formula1>RatingScaleList</formula1>
      <formula2>0</formula2>
    </dataValidation>
    <dataValidation allowBlank="true" errorStyle="stop" operator="between" showDropDown="false" showErrorMessage="true" showInputMessage="true" sqref="C14" type="list">
      <formula1>AccountingPrinciplesList</formula1>
      <formula2>0</formula2>
    </dataValidation>
    <dataValidation allowBlank="true" errorStyle="stop" operator="between" showDropDown="false" showErrorMessage="true" showInputMessage="true" sqref="C13" type="list">
      <formula1>CountryList</formula1>
      <formula2>0</formula2>
    </dataValidation>
    <dataValidation allowBlank="true" errorStyle="stop" operator="between" showDropDown="false" showErrorMessage="true" showInputMessage="true" sqref="C12" type="list">
      <formula1>CurrencyList</formula1>
      <formula2>0</formula2>
    </dataValidation>
    <dataValidation allowBlank="true" errorStyle="stop" operator="between" showDropDown="false" showErrorMessage="true" showInputMessage="true" sqref="C15" type="list">
      <formula1>MonthList</formula1>
      <formula2>0</formula2>
    </dataValidation>
    <dataValidation allowBlank="true" errorStyle="stop" operator="between" showDropDown="false" showErrorMessage="true" showInputMessage="true" sqref="C31" type="list">
      <formula1>NotchingList</formula1>
      <formula2>0</formula2>
    </dataValidation>
    <dataValidation allowBlank="true" errorStyle="stop" operator="between" showDropDown="false" showErrorMessage="true" showInputMessage="true" sqref="C7:I7" type="list">
      <formula1>SectorList</formula1>
      <formula2>0</formula2>
    </dataValidation>
    <dataValidation allowBlank="true" errorStyle="stop" operator="between" showDropDown="false" showErrorMessage="true" showInputMessage="true" sqref="C5:I5" type="list">
      <formula1>MethodologyList</formula1>
      <formula2>0</formula2>
    </dataValidation>
    <dataValidation allowBlank="true" errorStyle="stop" operator="between" showDropDown="false" showErrorMessage="true" showInputMessage="true" sqref="C3" type="list">
      <formula1>CorporateSectorList</formula1>
      <formula2>0</formula2>
    </dataValidation>
    <dataValidation allowBlank="true" errorStyle="stop" operator="between" showDropDown="false" showErrorMessage="true" showInputMessage="true" sqref="C10" type="list">
      <formula1>SegmentationCriteriaList</formula1>
      <formula2>0</formula2>
    </dataValidation>
    <dataValidation allowBlank="true" errorStyle="stop" operator="between" showDropDown="false" showErrorMessage="true" showInputMessage="true" sqref="C9:I9" type="list">
      <formula1>IndustryWeightList</formula1>
      <formula2>0</formula2>
    </dataValidation>
    <dataValidation allowBlank="true" errorStyle="stop" operator="between" showDropDown="false" showErrorMessage="true" showInputMessage="true" sqref="C8:I8" type="list">
      <formula1>SectorRiskScoreList</formula1>
      <formula2>0</formula2>
    </dataValidation>
  </dataValidations>
  <printOptions headings="false" gridLines="false" gridLinesSet="true" horizontalCentered="false" verticalCentered="false"/>
  <pageMargins left="0.7" right="0.7" top="0.75" bottom="0.75" header="0.3" footer="0.511811023622047"/>
  <pageSetup paperSize="9" scale="100" fitToWidth="1" fitToHeight="1" pageOrder="downThenOver" orientation="portrait" blackAndWhite="false" draft="false" cellComments="none" horizontalDpi="300" verticalDpi="300" copies="1"/>
  <headerFooter differentFirst="false" differentOddEven="false">
    <oddHeader>&amp;R&amp;"Calibri,Regular"&amp;1 &amp;K0000ff Internal Document#_x005F_x000d_</oddHeader>
    <oddFooter/>
  </headerFooter>
  <drawing r:id="rId2"/>
  <legacyDrawing r:id="rId3"/>
</worksheet>
</file>

<file path=docProps/app.xml><?xml version="1.0" encoding="utf-8"?>
<Properties xmlns="http://schemas.openxmlformats.org/officeDocument/2006/extended-properties" xmlns:vt="http://schemas.openxmlformats.org/officeDocument/2006/docPropsVTypes">
  <Template/>
  <TotalTime>0</TotalTime>
  <Application>LibreOffice/26.2.2.2$MacOSX_AARCH64 LibreOffice_project/1f77d10d6938fd34972958f64b2bcfa54f8b1ba5</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2015-06-05T18:19:34Z</dcterms:created>
  <dc:creator>Marco Romeo</dc:creator>
  <dc:description/>
  <dc:language>en-IN</dc:language>
  <cp:lastModifiedBy/>
  <dcterms:modified xsi:type="dcterms:W3CDTF">2026-04-27T04:34:18Z</dcterms:modified>
  <cp:revision>2</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0x0101005008992E46A42145A9464EC75E311959</vt:lpwstr>
  </property>
  <property fmtid="{D5CDD505-2E9C-101B-9397-08002B2CF9AE}" pid="3" name="MSIP_Label_51356bcf-722f-489a-9d3a-771e1c16b065_ActionId">
    <vt:lpwstr>cf235657-133b-41e6-bc12-9ba9b137e5df</vt:lpwstr>
  </property>
  <property fmtid="{D5CDD505-2E9C-101B-9397-08002B2CF9AE}" pid="4" name="MSIP_Label_51356bcf-722f-489a-9d3a-771e1c16b065_ContentBits">
    <vt:lpwstr>1</vt:lpwstr>
  </property>
  <property fmtid="{D5CDD505-2E9C-101B-9397-08002B2CF9AE}" pid="5" name="MSIP_Label_51356bcf-722f-489a-9d3a-771e1c16b065_Enabled">
    <vt:lpwstr>true</vt:lpwstr>
  </property>
  <property fmtid="{D5CDD505-2E9C-101B-9397-08002B2CF9AE}" pid="6" name="MSIP_Label_51356bcf-722f-489a-9d3a-771e1c16b065_Method">
    <vt:lpwstr>Standard</vt:lpwstr>
  </property>
  <property fmtid="{D5CDD505-2E9C-101B-9397-08002B2CF9AE}" pid="7" name="MSIP_Label_51356bcf-722f-489a-9d3a-771e1c16b065_Name">
    <vt:lpwstr>Internal_SG_Test01</vt:lpwstr>
  </property>
  <property fmtid="{D5CDD505-2E9C-101B-9397-08002B2CF9AE}" pid="8" name="MSIP_Label_51356bcf-722f-489a-9d3a-771e1c16b065_SetDate">
    <vt:lpwstr>2023-01-05T13:46:07Z</vt:lpwstr>
  </property>
  <property fmtid="{D5CDD505-2E9C-101B-9397-08002B2CF9AE}" pid="9" name="MSIP_Label_51356bcf-722f-489a-9d3a-771e1c16b065_SiteId">
    <vt:lpwstr>211c49c3-c442-4976-9bd4-c0fecdd6dfa9</vt:lpwstr>
  </property>
  <property fmtid="{D5CDD505-2E9C-101B-9397-08002B2CF9AE}" pid="10" name="MediaServiceImageTags">
    <vt:lpwstr/>
  </property>
  <property fmtid="{D5CDD505-2E9C-101B-9397-08002B2CF9AE}" pid="11" name="_dlc_DocIdItemGuid">
    <vt:lpwstr>59dacd10-cb67-45c0-acb2-8034c8e26137</vt:lpwstr>
  </property>
  <property fmtid="{D5CDD505-2E9C-101B-9397-08002B2CF9AE}" pid="12" name="{A44787D4-0540-4523-9961-78E4036D8C6D}">
    <vt:lpwstr>{80CDB2CE-F264-432F-8D6F-F4BC5BE13B24}</vt:lpwstr>
  </property>
</Properties>
</file>